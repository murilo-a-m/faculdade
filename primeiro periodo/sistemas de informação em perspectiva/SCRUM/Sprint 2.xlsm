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aculdade\primeiro periodo\sistemas de informação em perspectiva\SCRUM\"/>
    </mc:Choice>
  </mc:AlternateContent>
  <xr:revisionPtr revIDLastSave="0" documentId="13_ncr:11_{8DB472BB-7E75-4A25-B141-0B370F83E83A}" xr6:coauthVersionLast="47" xr6:coauthVersionMax="47" xr10:uidLastSave="{00000000-0000-0000-0000-000000000000}"/>
  <bookViews>
    <workbookView xWindow="-120" yWindow="-120" windowWidth="29040" windowHeight="15720" tabRatio="763" activeTab="1" xr2:uid="{00000000-000D-0000-FFFF-FFFF00000000}"/>
  </bookViews>
  <sheets>
    <sheet name="Instruções e preparo" sheetId="1" r:id="rId1"/>
    <sheet name="mai23" sheetId="4" r:id="rId2"/>
    <sheet name="mai16" sheetId="5" r:id="rId3"/>
    <sheet name="mai09" sheetId="3" r:id="rId4"/>
    <sheet name="mai02" sheetId="2" r:id="rId5"/>
  </sheets>
  <externalReferences>
    <externalReference r:id="rId6"/>
  </externalReferences>
  <definedNames>
    <definedName name="Área_de_Impressão" localSheetId="4">'mai02'!$B$1:$X$62</definedName>
    <definedName name="Área_de_Impressão" localSheetId="3">'mai09'!$B$1:$X$62</definedName>
    <definedName name="Área_de_Impressão" localSheetId="2">'mai16'!$B$1:$X$62</definedName>
    <definedName name="Área_de_Impressão" localSheetId="1">'mai23'!$B$1:$X$62</definedName>
    <definedName name="Atividades" localSheetId="3">tblAtividades[Atividades]</definedName>
    <definedName name="Atividades" localSheetId="2">tblAtividades[Atividades]</definedName>
    <definedName name="Atividades" localSheetId="1">tblAtividades[Atividades]</definedName>
    <definedName name="Atividades">tblAtividades[Atividades]</definedName>
    <definedName name="Aulas" localSheetId="3">tblAulas[Aulas]</definedName>
    <definedName name="Aulas" localSheetId="2">tblAulas[Aulas]</definedName>
    <definedName name="Aulas" localSheetId="1">tblAulas[Aulas]</definedName>
    <definedName name="Aulas">tblAulas[Aulas]</definedName>
    <definedName name="DataInícioSemana" localSheetId="3">'mai09'!$B$5</definedName>
    <definedName name="DataInícioSemana" localSheetId="2">'mai16'!$B$5</definedName>
    <definedName name="DataInícioSemana" localSheetId="1">'mai23'!$B$5</definedName>
    <definedName name="DataInícioSemana">'mai02'!$B$5</definedName>
    <definedName name="Dia_da_Agenda" localSheetId="3">IF(MOD(ROW()-ROW(OFFSET('mai09'!DataInícioSemana,2,))-0,LinhasPorDia)+(('mai09'!Dias_da_Agenda-'mai09'!DataInícioSemana)&gt;6),"",'mai09'!Dias_da_Agenda)</definedName>
    <definedName name="Dia_da_Agenda" localSheetId="2">IF(MOD(ROW()-ROW(OFFSET('mai16'!DataInícioSemana,2,))-0,LinhasPorDia)+(('mai16'!Dias_da_Agenda-'mai16'!DataInícioSemana)&gt;6),"",'mai16'!Dias_da_Agenda)</definedName>
    <definedName name="Dia_da_Agenda" localSheetId="1">IF(MOD(ROW()-ROW(OFFSET('mai23'!DataInícioSemana,2,))-0,LinhasPorDia)+(('mai23'!Dias_da_Agenda-'mai23'!DataInícioSemana)&gt;6),"",'mai23'!Dias_da_Agenda)</definedName>
    <definedName name="Dia_da_Agenda">IF(MOD(ROW()-ROW(OFFSET(DataInícioSemana,2,))-0,LinhasPorDia)+((Dias_da_Agenda-DataInícioSemana)&gt;6),"",Dias_da_Agenda)</definedName>
    <definedName name="Dias_da_Agenda" localSheetId="3">'mai09'!DataInícioSemana+INT((ROW()-ROW(OFFSET('mai09'!DataInícioSemana,2,))+0)/LinhasPorDia)</definedName>
    <definedName name="Dias_da_Agenda" localSheetId="2">'mai16'!DataInícioSemana+INT((ROW()-ROW(OFFSET('mai16'!DataInícioSemana,2,))+0)/LinhasPorDia)</definedName>
    <definedName name="Dias_da_Agenda" localSheetId="1">'mai23'!DataInícioSemana+INT((ROW()-ROW(OFFSET('mai23'!DataInícioSemana,2,))+0)/LinhasPorDia)</definedName>
    <definedName name="Dias_da_Agenda">DataInícioSemana+INT((ROW()-ROW(OFFSET(DataInícioSemana,2,))+0)/LinhasPorDia)</definedName>
    <definedName name="DiasAgendaMais1" localSheetId="3">'mai09'!DataInícioSemana+INT((ROW()+1-ROW(OFFSET('mai09'!DataInícioSemana,2,))+0)/LinhasPorDia)</definedName>
    <definedName name="DiasAgendaMais1" localSheetId="2">'mai16'!DataInícioSemana+INT((ROW()+1-ROW(OFFSET('mai16'!DataInícioSemana,2,))+0)/LinhasPorDia)</definedName>
    <definedName name="DiasAgendaMais1" localSheetId="1">'mai23'!DataInícioSemana+INT((ROW()+1-ROW(OFFSET('mai23'!DataInícioSemana,2,))+0)/LinhasPorDia)</definedName>
    <definedName name="DiasAgendaMais1">DataInícioSemana+INT((ROW()+1-ROW(OFFSET(DataInícioSemana,2,))+0)/LinhasPorDia)</definedName>
    <definedName name="Imprimir_Títulos" localSheetId="4">'mai02'!$4:$6</definedName>
    <definedName name="Imprimir_Títulos" localSheetId="3">'mai09'!$4:$6</definedName>
    <definedName name="Imprimir_Títulos" localSheetId="2">'mai16'!$4:$6</definedName>
    <definedName name="Imprimir_Títulos" localSheetId="1">'mai23'!$4:$6</definedName>
    <definedName name="IntervaloMarcaSeleção" localSheetId="3">'mai09'!$D$7:INDEX('mai09'!$D$7:$D$103,[0]!LinhasAgenda),'mai09'!$G$103:INDEX('mai09'!$G$7:$G$103,[0]!LinhasAgenda),'mai09'!$J$7:INDEX('mai09'!$J$7:$J$103,[0]!LinhasAgenda),'mai09'!$M$7:INDEX('mai09'!$M$7:$M$103,[0]!LinhasAgenda),'mai09'!$P$7:INDEX('mai09'!$P$7:$P$103,[0]!LinhasAgenda),'mai09'!$S$7:INDEX('mai09'!$S$7:$S$103,[0]!LinhasAgenda),'mai09'!$V$7:INDEX('mai09'!$V$7:$V$103,[0]!LinhasAgenda)</definedName>
    <definedName name="IntervaloMarcaSeleção" localSheetId="2">'mai16'!$D$7:INDEX('mai16'!$D$7:$D$103,[0]!LinhasAgenda),'mai16'!$G$103:INDEX('mai16'!$G$7:$G$103,[0]!LinhasAgenda),'mai16'!$J$7:INDEX('mai16'!$J$7:$J$103,[0]!LinhasAgenda),'mai16'!$M$7:INDEX('mai16'!$M$7:$M$103,[0]!LinhasAgenda),'mai16'!$P$7:INDEX('mai16'!$P$7:$P$103,[0]!LinhasAgenda),'mai16'!$S$7:INDEX('mai16'!$S$7:$S$103,[0]!LinhasAgenda),'mai16'!$V$7:INDEX('mai16'!$V$7:$V$103,[0]!LinhasAgenda)</definedName>
    <definedName name="IntervaloMarcaSeleção" localSheetId="1">'mai23'!$D$7:INDEX('mai23'!$D$7:$D$103,[0]!LinhasAgenda),'mai23'!$G$103:INDEX('mai23'!$G$7:$G$103,[0]!LinhasAgenda),'mai23'!$J$7:INDEX('mai23'!$J$7:$J$103,[0]!LinhasAgenda),'mai23'!$M$7:INDEX('mai23'!$M$7:$M$103,[0]!LinhasAgenda),'mai23'!$P$7:INDEX('mai23'!$P$7:$P$103,[0]!LinhasAgenda),'mai23'!$S$7:INDEX('mai23'!$S$7:$S$103,[0]!LinhasAgenda),'mai23'!$V$7:INDEX('mai23'!$V$7:$V$103,[0]!LinhasAgenda)</definedName>
    <definedName name="IntervaloMarcaSeleção">'mai02'!$D$7:INDEX('mai02'!$D$7:$D$103,LinhasAgenda),'mai02'!$G$103:INDEX('mai02'!$G$7:$G$103,LinhasAgenda),'mai02'!$J$7:INDEX('mai02'!$J$7:$J$103,LinhasAgenda),'mai02'!$M$7:INDEX('mai02'!$M$7:$M$103,LinhasAgenda),'mai02'!$P$7:INDEX('mai02'!$P$7:$P$103,LinhasAgenda),'mai02'!$S$7:INDEX('mai02'!$S$7:$S$103,LinhasAgenda),'mai02'!$V$7:INDEX('mai02'!$V$7:$V$103,LinhasAgenda)</definedName>
    <definedName name="LinhasAgenda">7*LinhasPorDia</definedName>
    <definedName name="LinhasPorDia">'Instruções e preparo'!$I$14</definedName>
    <definedName name="Redefinir_Área_Impressão">OFFSET([1]Sep12!$B:$X,0,0,LinhasAgenda+6)</definedName>
    <definedName name="TotalHorasDiárias" localSheetId="3">IF(LEN('mai09'!XFD1),SUM('mai09'!C1:INDEX('mai09'!C1:C96,LinhasPorDia),'mai09'!F1:INDEX('mai09'!F1:F96,LinhasPorDia),'mai09'!I1:INDEX('mai09'!I1:I96,LinhasPorDia),'mai09'!L1:INDEX('mai09'!L1:L96,LinhasPorDia),'mai09'!O1:INDEX('mai09'!O1:O96,LinhasPorDia),'mai09'!R1:INDEX('mai09'!R1:R96,LinhasPorDia),'mai09'!U1:INDEX('mai09'!U1:U96,LinhasPorDia)),"")</definedName>
    <definedName name="TotalHorasDiárias" localSheetId="2">IF(LEN('mai16'!XFD1),SUM('mai16'!C1:INDEX('mai16'!C1:C96,LinhasPorDia),'mai16'!F1:INDEX('mai16'!F1:F96,LinhasPorDia),'mai16'!I1:INDEX('mai16'!I1:I96,LinhasPorDia),'mai16'!L1:INDEX('mai16'!L1:L96,LinhasPorDia),'mai16'!O1:INDEX('mai16'!O1:O96,LinhasPorDia),'mai16'!R1:INDEX('mai16'!R1:R96,LinhasPorDia),'mai16'!U1:INDEX('mai16'!U1:U96,LinhasPorDia)),"")</definedName>
    <definedName name="TotalHorasDiárias" localSheetId="1">IF(LEN('mai23'!XFD1),SUM('mai23'!C1:INDEX('mai23'!C1:C96,LinhasPorDia),'mai23'!F1:INDEX('mai23'!F1:F96,LinhasPorDia),'mai23'!I1:INDEX('mai23'!I1:I96,LinhasPorDia),'mai23'!L1:INDEX('mai23'!L1:L96,LinhasPorDia),'mai23'!O1:INDEX('mai23'!O1:O96,LinhasPorDia),'mai23'!R1:INDEX('mai23'!R1:R96,LinhasPorDia),'mai23'!U1:INDEX('mai23'!U1:U96,LinhasPorDia)),"")</definedName>
    <definedName name="TotalHorasDiárias">IF(LEN('mai02'!XFD1),SUM('mai02'!C1:INDEX('mai02'!C1:C96,LinhasPorDia),'mai02'!F1:INDEX('mai02'!F1:F96,LinhasPorDia),'mai02'!I1:INDEX('mai02'!I1:I96,LinhasPorDia),'mai02'!L1:INDEX('mai02'!L1:L96,LinhasPorDia),'mai02'!O1:INDEX('mai02'!O1:O96,LinhasPorDia),'mai02'!R1:INDEX('mai02'!R1:R96,LinhasPorDia),'mai02'!U1:INDEX('mai02'!U1:U96,LinhasPorDia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3" i="5" l="1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C21" i="5" s="1"/>
  <c r="B20" i="5"/>
  <c r="C20" i="5" s="1"/>
  <c r="B19" i="5"/>
  <c r="C19" i="5" s="1"/>
  <c r="B18" i="5"/>
  <c r="C18" i="5" s="1"/>
  <c r="B17" i="5"/>
  <c r="B16" i="5"/>
  <c r="C16" i="5" s="1"/>
  <c r="B15" i="5"/>
  <c r="C15" i="5" s="1"/>
  <c r="B14" i="5"/>
  <c r="C14" i="5" s="1"/>
  <c r="B13" i="5"/>
  <c r="C13" i="5" s="1"/>
  <c r="B12" i="5"/>
  <c r="B11" i="5"/>
  <c r="C11" i="5" s="1"/>
  <c r="B10" i="5"/>
  <c r="C10" i="5" s="1"/>
  <c r="B9" i="5"/>
  <c r="C9" i="5" s="1"/>
  <c r="B8" i="5"/>
  <c r="C8" i="5" s="1"/>
  <c r="B7" i="5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C21" i="4" s="1"/>
  <c r="B20" i="4"/>
  <c r="C20" i="4" s="1"/>
  <c r="B19" i="4"/>
  <c r="C19" i="4" s="1"/>
  <c r="B18" i="4"/>
  <c r="C18" i="4" s="1"/>
  <c r="B17" i="4"/>
  <c r="B16" i="4"/>
  <c r="C16" i="4" s="1"/>
  <c r="B15" i="4"/>
  <c r="C15" i="4" s="1"/>
  <c r="B14" i="4"/>
  <c r="C14" i="4" s="1"/>
  <c r="B13" i="4"/>
  <c r="C13" i="4" s="1"/>
  <c r="B12" i="4"/>
  <c r="B11" i="4"/>
  <c r="C11" i="4" s="1"/>
  <c r="B10" i="4"/>
  <c r="C10" i="4" s="1"/>
  <c r="B9" i="4"/>
  <c r="C9" i="4" s="1"/>
  <c r="B8" i="4"/>
  <c r="C8" i="4" s="1"/>
  <c r="B7" i="4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C21" i="3" s="1"/>
  <c r="B20" i="3"/>
  <c r="C20" i="3" s="1"/>
  <c r="B19" i="3"/>
  <c r="C19" i="3" s="1"/>
  <c r="B18" i="3"/>
  <c r="C18" i="3" s="1"/>
  <c r="B17" i="3"/>
  <c r="B16" i="3"/>
  <c r="C16" i="3" s="1"/>
  <c r="B15" i="3"/>
  <c r="C15" i="3" s="1"/>
  <c r="B14" i="3"/>
  <c r="C14" i="3" s="1"/>
  <c r="B13" i="3"/>
  <c r="C13" i="3" s="1"/>
  <c r="B12" i="3"/>
  <c r="B11" i="3"/>
  <c r="C11" i="3" s="1"/>
  <c r="B10" i="3"/>
  <c r="C10" i="3" s="1"/>
  <c r="B9" i="3"/>
  <c r="C9" i="3" s="1"/>
  <c r="B8" i="3"/>
  <c r="C8" i="3" s="1"/>
  <c r="B7" i="3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7" i="2" l="1"/>
  <c r="B8" i="2"/>
  <c r="B15" i="2"/>
  <c r="B16" i="2"/>
  <c r="B23" i="2"/>
  <c r="B24" i="2"/>
  <c r="B31" i="2"/>
  <c r="B32" i="2"/>
  <c r="B39" i="2"/>
  <c r="C15" i="2" l="1"/>
  <c r="B14" i="2"/>
  <c r="C14" i="2" s="1"/>
  <c r="C16" i="2"/>
  <c r="C8" i="2"/>
  <c r="B9" i="2"/>
  <c r="C9" i="2" s="1"/>
  <c r="B10" i="2"/>
  <c r="C10" i="2" s="1"/>
  <c r="B11" i="2"/>
  <c r="C11" i="2" s="1"/>
  <c r="B12" i="2"/>
  <c r="B13" i="2"/>
  <c r="C13" i="2" s="1"/>
  <c r="B17" i="2"/>
  <c r="B18" i="2"/>
  <c r="C18" i="2" s="1"/>
  <c r="B19" i="2"/>
  <c r="C19" i="2" s="1"/>
  <c r="B20" i="2"/>
  <c r="C20" i="2" s="1"/>
  <c r="B21" i="2"/>
  <c r="C21" i="2" s="1"/>
  <c r="B22" i="2"/>
  <c r="B25" i="2"/>
  <c r="B26" i="2"/>
  <c r="B27" i="2"/>
  <c r="B28" i="2"/>
  <c r="B29" i="2"/>
  <c r="B30" i="2"/>
  <c r="B33" i="2"/>
  <c r="B34" i="2"/>
  <c r="B35" i="2"/>
  <c r="B36" i="2"/>
  <c r="B37" i="2"/>
  <c r="B38" i="2"/>
</calcChain>
</file>

<file path=xl/sharedStrings.xml><?xml version="1.0" encoding="utf-8"?>
<sst xmlns="http://schemas.openxmlformats.org/spreadsheetml/2006/main" count="788" uniqueCount="42">
  <si>
    <t>Leitura</t>
  </si>
  <si>
    <t>Discussão</t>
  </si>
  <si>
    <t>Aulas</t>
  </si>
  <si>
    <t>Palestra</t>
  </si>
  <si>
    <t>Laboratório</t>
  </si>
  <si>
    <t>Teste</t>
  </si>
  <si>
    <t>Estudo</t>
  </si>
  <si>
    <t>Reflexo</t>
  </si>
  <si>
    <t>Trabalho de Pesquisa</t>
  </si>
  <si>
    <t>Revisar tarefa</t>
  </si>
  <si>
    <t>Total</t>
  </si>
  <si>
    <t>Matemática 101</t>
  </si>
  <si>
    <t>Inglês 105</t>
  </si>
  <si>
    <t>Português 103</t>
  </si>
  <si>
    <t>Ciências 101</t>
  </si>
  <si>
    <t>Atividades</t>
  </si>
  <si>
    <t>TAREFA</t>
  </si>
  <si>
    <t>Instruções e preparo</t>
  </si>
  <si>
    <t>Número de linhas para cada dia:</t>
  </si>
  <si>
    <t>Estime o total de horas que será necessário para cada tarefa na coluna de horas, identificada pelo ícone de um relógio.</t>
  </si>
  <si>
    <t>Ao concluir a tarefa, clique duas vezes na coluna Concluído, identificada por uma marca de verificação, ao lado da tarefa.</t>
  </si>
  <si>
    <t>Em uma planilha de agenda, como a de Set 12, conclua as etapas de 5 a 9.</t>
  </si>
  <si>
    <t>História 101</t>
  </si>
  <si>
    <t xml:space="preserve">Na tabela Atividades, também abaixo, modifique as atividades de exemplo de acordo com as suas necessidades. </t>
  </si>
  <si>
    <t>Na tabela Aulas abaixo, digite os nomes das aulas que você deseja controlar nesta agenda.</t>
  </si>
  <si>
    <r>
      <t xml:space="preserve">Na célula </t>
    </r>
    <r>
      <rPr>
        <b/>
        <sz val="8.5"/>
        <color theme="1" tint="0.24994659260841701"/>
        <rFont val="Euphemia"/>
        <family val="2"/>
        <scheme val="minor"/>
      </rPr>
      <t>I14,</t>
    </r>
    <r>
      <rPr>
        <sz val="8.5"/>
        <color theme="1" tint="0.24994659260841701"/>
        <rFont val="Euphemia"/>
        <family val="2"/>
        <scheme val="minor"/>
      </rPr>
      <t xml:space="preserve"> defina o número de linhas que você deseja usar para as atividades de casa de cada dia.</t>
    </r>
  </si>
  <si>
    <t>Insira a Data de Início</t>
  </si>
  <si>
    <r>
      <t xml:space="preserve">Insira uma data de início para a sua agenda no celular </t>
    </r>
    <r>
      <rPr>
        <b/>
        <sz val="8.5"/>
        <color theme="1" tint="0.24994659260841701"/>
        <rFont val="Euphemia"/>
        <family val="2"/>
        <scheme val="minor"/>
      </rPr>
      <t>A5.</t>
    </r>
  </si>
  <si>
    <r>
      <t xml:space="preserve">Abaixo de cada aula, adicione suas tarefas na coluna </t>
    </r>
    <r>
      <rPr>
        <b/>
        <sz val="8.5"/>
        <color theme="1" tint="0.24994659260841701"/>
        <rFont val="Euphemia"/>
        <family val="2"/>
        <scheme val="minor"/>
      </rPr>
      <t>Tarefas</t>
    </r>
    <r>
      <rPr>
        <sz val="8.5"/>
        <color theme="1" tint="0.24994659260841701"/>
        <rFont val="Euphemia"/>
        <family val="2"/>
        <scheme val="minor"/>
      </rPr>
      <t>.</t>
    </r>
  </si>
  <si>
    <r>
      <t xml:space="preserve">Na linha </t>
    </r>
    <r>
      <rPr>
        <b/>
        <sz val="8.5"/>
        <color theme="1" tint="0.24994659260841701"/>
        <rFont val="Euphemia"/>
        <family val="2"/>
        <scheme val="minor"/>
      </rPr>
      <t>4</t>
    </r>
    <r>
      <rPr>
        <sz val="8.5"/>
        <color theme="1" tint="0.24994659260841701"/>
        <rFont val="Euphemia"/>
        <family val="2"/>
        <scheme val="minor"/>
      </rPr>
      <t xml:space="preserve">, use a lista suspensa para adicionar suas aulas à agenda. </t>
    </r>
  </si>
  <si>
    <t xml:space="preserve">Parada para almoço </t>
  </si>
  <si>
    <t>Aberto para trabalhos</t>
  </si>
  <si>
    <t>Fechado para trabalhos</t>
  </si>
  <si>
    <t>Ata da reunião:</t>
  </si>
  <si>
    <t>x</t>
  </si>
  <si>
    <t>Daily meeting</t>
  </si>
  <si>
    <t>Parada de almoço</t>
  </si>
  <si>
    <t>Sprint Mecanismo de busca e servidor</t>
  </si>
  <si>
    <t>Inicio reunião de planejamento Sprint Mecanismo de busca e servidor</t>
  </si>
  <si>
    <t>Encerramento reunião de planejamento Sprint Mecanismo de busca e servidor</t>
  </si>
  <si>
    <t>Construir requisitos de telas do mecanismo de busca e de acesso ao servidor de filmes</t>
  </si>
  <si>
    <t>Inicio reunião de revisão Sprint Mecanismo de busca e servidor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</si>
</sst>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d\ d"/>
    <numFmt numFmtId="165" formatCode="\ mmmm\ dd"/>
    <numFmt numFmtId="166" formatCode="0.0"/>
    <numFmt numFmtId="167" formatCode="[$-F400]h:mm:ss\ AM/PM"/>
  </numFmts>
  <fonts count="21" x14ac:knownFonts="1">
    <font>
      <sz val="8.5"/>
      <color theme="1"/>
      <name val="Euphemia"/>
      <family val="2"/>
      <scheme val="minor"/>
    </font>
    <font>
      <b/>
      <sz val="20"/>
      <color theme="1"/>
      <name val="Euphemia"/>
      <family val="2"/>
      <scheme val="minor"/>
    </font>
    <font>
      <b/>
      <sz val="8"/>
      <color theme="0"/>
      <name val="Euphemia"/>
      <family val="2"/>
      <scheme val="minor"/>
    </font>
    <font>
      <b/>
      <sz val="8"/>
      <color theme="5"/>
      <name val="Euphemia"/>
      <family val="2"/>
      <scheme val="minor"/>
    </font>
    <font>
      <b/>
      <sz val="9"/>
      <color theme="4"/>
      <name val="Bookman Old Style"/>
      <family val="1"/>
      <scheme val="major"/>
    </font>
    <font>
      <b/>
      <sz val="9"/>
      <color theme="1" tint="0.249977111117893"/>
      <name val="Euphemia"/>
      <family val="2"/>
      <scheme val="minor"/>
    </font>
    <font>
      <sz val="8.25"/>
      <color theme="1" tint="0.249977111117893"/>
      <name val="Euphemia"/>
      <family val="2"/>
      <scheme val="minor"/>
    </font>
    <font>
      <sz val="8"/>
      <color theme="1"/>
      <name val="Euphemia"/>
      <family val="2"/>
      <scheme val="minor"/>
    </font>
    <font>
      <sz val="10"/>
      <color theme="1"/>
      <name val="Euphemia"/>
      <family val="2"/>
      <scheme val="minor"/>
    </font>
    <font>
      <b/>
      <sz val="26"/>
      <color theme="0"/>
      <name val="Bookman Old Style"/>
      <family val="1"/>
      <scheme val="major"/>
    </font>
    <font>
      <b/>
      <sz val="24"/>
      <color theme="5"/>
      <name val="Bookman Old Style"/>
      <family val="1"/>
      <scheme val="major"/>
    </font>
    <font>
      <sz val="8.5"/>
      <color theme="1" tint="0.24994659260841701"/>
      <name val="Euphemia"/>
      <family val="2"/>
      <scheme val="minor"/>
    </font>
    <font>
      <b/>
      <sz val="14"/>
      <color theme="5"/>
      <name val="Bookman Old Style"/>
      <family val="1"/>
      <scheme val="major"/>
    </font>
    <font>
      <b/>
      <sz val="8.5"/>
      <color theme="1" tint="0.24994659260841701"/>
      <name val="Euphemia"/>
      <family val="2"/>
      <scheme val="minor"/>
    </font>
    <font>
      <b/>
      <sz val="11"/>
      <color theme="4" tint="-0.249977111117893"/>
      <name val="Bookman Old Style"/>
      <family val="1"/>
      <scheme val="major"/>
    </font>
    <font>
      <b/>
      <sz val="12"/>
      <color theme="4" tint="-0.24994659260841701"/>
      <name val="Bookman Old Style"/>
      <family val="1"/>
      <scheme val="major"/>
    </font>
    <font>
      <b/>
      <sz val="12"/>
      <color theme="1" tint="0.249977111117893"/>
      <name val="Euphemia"/>
      <family val="2"/>
      <scheme val="minor"/>
    </font>
    <font>
      <b/>
      <sz val="8.25"/>
      <color theme="1" tint="0.249977111117893"/>
      <name val="Euphemia"/>
      <family val="2"/>
      <scheme val="minor"/>
    </font>
    <font>
      <sz val="8.25"/>
      <color rgb="FFFF0000"/>
      <name val="Euphemia"/>
      <family val="2"/>
      <scheme val="minor"/>
    </font>
    <font>
      <b/>
      <sz val="12"/>
      <color rgb="FFFF0000"/>
      <name val="Euphemia"/>
      <family val="2"/>
      <scheme val="minor"/>
    </font>
    <font>
      <sz val="12"/>
      <color rgb="FFFF0000"/>
      <name val="Euphemi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theme="4" tint="0.59996337778862885"/>
      </top>
      <bottom style="thick">
        <color theme="4" tint="0.59996337778862885"/>
      </bottom>
      <diagonal/>
    </border>
    <border>
      <left style="thin">
        <color theme="5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5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</borders>
  <cellStyleXfs count="5">
    <xf numFmtId="0" fontId="0" fillId="0" borderId="0"/>
    <xf numFmtId="0" fontId="9" fillId="3" borderId="0" applyNumberFormat="0" applyBorder="0" applyProtection="0">
      <alignment vertical="center"/>
    </xf>
    <xf numFmtId="0" fontId="10" fillId="0" borderId="9" applyNumberFormat="0" applyFill="0" applyProtection="0">
      <alignment vertical="center"/>
    </xf>
    <xf numFmtId="0" fontId="11" fillId="0" borderId="9" applyNumberFormat="0" applyFill="0" applyProtection="0">
      <alignment vertical="center" wrapText="1"/>
    </xf>
    <xf numFmtId="0" fontId="15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0" fillId="3" borderId="1" xfId="0" applyFill="1" applyBorder="1"/>
    <xf numFmtId="0" fontId="0" fillId="0" borderId="0" xfId="0" applyFill="1"/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alignment horizontal="left"/>
      <protection locked="0"/>
    </xf>
    <xf numFmtId="0" fontId="2" fillId="4" borderId="5" xfId="0" applyFont="1" applyFill="1" applyBorder="1" applyAlignment="1">
      <alignment horizontal="center"/>
    </xf>
    <xf numFmtId="0" fontId="2" fillId="4" borderId="5" xfId="0" applyFont="1" applyFill="1" applyBorder="1"/>
    <xf numFmtId="0" fontId="6" fillId="0" borderId="0" xfId="0" applyFont="1" applyFill="1" applyBorder="1" applyProtection="1">
      <protection locked="0"/>
    </xf>
    <xf numFmtId="165" fontId="3" fillId="2" borderId="0" xfId="0" applyNumberFormat="1" applyFont="1" applyFill="1" applyBorder="1" applyAlignment="1" applyProtection="1">
      <alignment horizontal="left"/>
      <protection locked="0"/>
    </xf>
    <xf numFmtId="0" fontId="2" fillId="4" borderId="6" xfId="0" applyFont="1" applyFill="1" applyBorder="1"/>
    <xf numFmtId="0" fontId="5" fillId="0" borderId="0" xfId="0" applyFont="1" applyFill="1" applyBorder="1" applyAlignment="1" applyProtection="1">
      <protection locked="0"/>
    </xf>
    <xf numFmtId="0" fontId="6" fillId="0" borderId="7" xfId="0" applyFont="1" applyFill="1" applyBorder="1" applyAlignment="1" applyProtection="1">
      <alignment horizontal="center"/>
      <protection locked="0"/>
    </xf>
    <xf numFmtId="166" fontId="0" fillId="0" borderId="0" xfId="0" applyNumberFormat="1" applyFill="1"/>
    <xf numFmtId="166" fontId="0" fillId="3" borderId="1" xfId="0" applyNumberFormat="1" applyFill="1" applyBorder="1"/>
    <xf numFmtId="166" fontId="4" fillId="0" borderId="4" xfId="0" applyNumberFormat="1" applyFont="1" applyFill="1" applyBorder="1" applyAlignment="1" applyProtection="1">
      <alignment horizontal="center"/>
    </xf>
    <xf numFmtId="166" fontId="2" fillId="4" borderId="5" xfId="0" applyNumberFormat="1" applyFont="1" applyFill="1" applyBorder="1" applyAlignment="1">
      <alignment horizontal="center"/>
    </xf>
    <xf numFmtId="166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0" fontId="9" fillId="3" borderId="1" xfId="1" applyBorder="1">
      <alignment vertical="center"/>
    </xf>
    <xf numFmtId="0" fontId="9" fillId="3" borderId="1" xfId="1" applyFont="1" applyBorder="1">
      <alignment vertical="center"/>
    </xf>
    <xf numFmtId="0" fontId="10" fillId="0" borderId="9" xfId="2">
      <alignment vertical="center"/>
    </xf>
    <xf numFmtId="0" fontId="12" fillId="0" borderId="0" xfId="2" applyFont="1" applyBorder="1">
      <alignment vertical="center"/>
    </xf>
    <xf numFmtId="0" fontId="0" fillId="0" borderId="0" xfId="0" applyNumberFormat="1" applyFill="1"/>
    <xf numFmtId="0" fontId="4" fillId="0" borderId="0" xfId="0" applyFont="1" applyFill="1" applyBorder="1" applyAlignment="1">
      <alignment horizontal="left" wrapText="1"/>
    </xf>
    <xf numFmtId="0" fontId="14" fillId="5" borderId="8" xfId="0" applyFont="1" applyFill="1" applyBorder="1" applyAlignment="1" applyProtection="1">
      <alignment horizontal="center" vertical="center"/>
      <protection locked="0"/>
    </xf>
    <xf numFmtId="164" fontId="15" fillId="0" borderId="0" xfId="4" applyNumberFormat="1" applyFill="1" applyAlignment="1">
      <alignment horizontal="left" vertical="top"/>
    </xf>
    <xf numFmtId="0" fontId="0" fillId="0" borderId="0" xfId="0" applyFont="1" applyFill="1"/>
    <xf numFmtId="0" fontId="11" fillId="0" borderId="9" xfId="3" applyAlignment="1">
      <alignment vertical="center" wrapText="1"/>
    </xf>
    <xf numFmtId="0" fontId="0" fillId="0" borderId="10" xfId="0" applyBorder="1"/>
    <xf numFmtId="167" fontId="0" fillId="0" borderId="0" xfId="0" applyNumberFormat="1" applyFill="1"/>
    <xf numFmtId="167" fontId="0" fillId="3" borderId="1" xfId="0" applyNumberFormat="1" applyFill="1" applyBorder="1"/>
    <xf numFmtId="167" fontId="0" fillId="0" borderId="0" xfId="0" applyNumberFormat="1" applyFill="1" applyBorder="1" applyAlignment="1" applyProtection="1">
      <protection locked="0"/>
    </xf>
    <xf numFmtId="167" fontId="2" fillId="4" borderId="5" xfId="0" applyNumberFormat="1" applyFont="1" applyFill="1" applyBorder="1" applyAlignment="1">
      <alignment horizontal="center"/>
    </xf>
    <xf numFmtId="167" fontId="6" fillId="0" borderId="0" xfId="0" applyNumberFormat="1" applyFont="1" applyFill="1" applyBorder="1" applyAlignment="1" applyProtection="1">
      <alignment horizontal="center"/>
      <protection locked="0"/>
    </xf>
    <xf numFmtId="167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0" fontId="17" fillId="0" borderId="0" xfId="0" applyFont="1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17" fillId="0" borderId="7" xfId="0" applyFont="1" applyFill="1" applyBorder="1" applyAlignment="1" applyProtection="1">
      <alignment horizontal="center"/>
      <protection locked="0"/>
    </xf>
    <xf numFmtId="0" fontId="18" fillId="6" borderId="7" xfId="0" applyFont="1" applyFill="1" applyBorder="1" applyAlignment="1" applyProtection="1">
      <alignment horizontal="center"/>
      <protection locked="0"/>
    </xf>
    <xf numFmtId="167" fontId="19" fillId="6" borderId="0" xfId="0" applyNumberFormat="1" applyFont="1" applyFill="1" applyBorder="1" applyAlignment="1" applyProtection="1">
      <alignment horizontal="center" vertical="center"/>
      <protection locked="0"/>
    </xf>
    <xf numFmtId="0" fontId="19" fillId="6" borderId="0" xfId="0" applyFont="1" applyFill="1" applyBorder="1" applyProtection="1">
      <protection locked="0"/>
    </xf>
    <xf numFmtId="167" fontId="18" fillId="6" borderId="0" xfId="0" applyNumberFormat="1" applyFont="1" applyFill="1" applyBorder="1" applyAlignment="1" applyProtection="1">
      <alignment horizontal="center"/>
      <protection locked="0"/>
    </xf>
    <xf numFmtId="0" fontId="20" fillId="6" borderId="0" xfId="0" applyFont="1" applyFill="1" applyBorder="1" applyProtection="1">
      <protection locked="0"/>
    </xf>
    <xf numFmtId="0" fontId="18" fillId="6" borderId="0" xfId="0" applyFont="1" applyFill="1" applyBorder="1" applyAlignment="1" applyProtection="1">
      <alignment wrapText="1"/>
      <protection locked="0"/>
    </xf>
    <xf numFmtId="0" fontId="18" fillId="6" borderId="0" xfId="0" applyFont="1" applyFill="1" applyBorder="1" applyProtection="1">
      <protection locked="0"/>
    </xf>
    <xf numFmtId="0" fontId="18" fillId="0" borderId="7" xfId="0" applyFont="1" applyFill="1" applyBorder="1" applyAlignment="1" applyProtection="1">
      <alignment horizontal="center"/>
      <protection locked="0"/>
    </xf>
    <xf numFmtId="167" fontId="19" fillId="0" borderId="0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locked="0"/>
    </xf>
    <xf numFmtId="167" fontId="18" fillId="0" borderId="0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wrapText="1"/>
      <protection locked="0"/>
    </xf>
  </cellXfs>
  <cellStyles count="5">
    <cellStyle name="Normal" xfId="0" builtinId="0" customBuiltin="1"/>
    <cellStyle name="Título 1" xfId="1" builtinId="16" customBuiltin="1"/>
    <cellStyle name="Título 2" xfId="2" builtinId="17" customBuiltin="1"/>
    <cellStyle name="Título 3" xfId="3" builtinId="18" customBuiltin="1"/>
    <cellStyle name="Título 4" xfId="4" builtinId="19" customBuiltin="1"/>
  </cellStyles>
  <dxfs count="139"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10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Euphemia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color theme="1" tint="0.24994659260841701"/>
      </font>
      <fill>
        <patternFill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5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ustomTableStyle" pivot="0" count="3" xr9:uid="{00000000-0011-0000-FFFF-FFFF00000000}">
      <tableStyleElement type="wholeTable" dxfId="138"/>
      <tableStyleElement type="headerRow" dxfId="137"/>
      <tableStyleElement type="secondRowStripe" dxfId="136"/>
    </tableStyle>
  </tableStyles>
  <colors>
    <mruColors>
      <color rgb="FFFFFFFF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838200</xdr:colOff>
      <xdr:row>11</xdr:row>
      <xdr:rowOff>57150</xdr:rowOff>
    </xdr:from>
    <xdr:to>
      <xdr:col>4</xdr:col>
      <xdr:colOff>142875</xdr:colOff>
      <xdr:row>11</xdr:row>
      <xdr:rowOff>349758</xdr:rowOff>
    </xdr:to>
    <xdr:sp macro="[0]!ShowSchedule" textlink="">
      <xdr:nvSpPr>
        <xdr:cNvPr id="22" name="btnAgenda" descr="Click to view the Schedule sheet. " title="Schedule Navigation Butto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23975" y="2943225"/>
          <a:ext cx="1085850" cy="292608"/>
        </a:xfrm>
        <a:prstGeom prst="rect">
          <a:avLst/>
        </a:prstGeom>
        <a:solidFill>
          <a:schemeClr val="accent2"/>
        </a:solidFill>
        <a:ln w="28575" cmpd="sng">
          <a:solidFill>
            <a:schemeClr val="accent2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bg1"/>
              </a:solidFill>
              <a:latin typeface="+mj-lt"/>
            </a:rPr>
            <a:t>Horário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C46B7C9D-422A-4607-8C74-38D1E9C7DF9C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FEDD5A3B-5F3C-4936-82DF-B4B0FF535D72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397EC52E-F364-4B73-A5AC-AC4CEBDD2FA0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FBD8B56-D0AA-4AEF-9C0F-169B56777AE8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A3815D2D-ED08-4B83-9675-0FD82929EF54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EA680EDB-2D89-4069-B12E-33491102EA03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87B25076-4A3C-45F0-BDE8-DEED6FBCCED4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7E4C5EB-22DF-4A33-AF51-653668B81FDF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8735B74-2587-42CD-9702-C307AF6C3353}"/>
            </a:ext>
          </a:extLst>
        </xdr:cNvPr>
        <xdr:cNvSpPr>
          <a:spLocks/>
        </xdr:cNvSpPr>
      </xdr:nvSpPr>
      <xdr:spPr bwMode="auto">
        <a:xfrm>
          <a:off x="168402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97347EF-B8C0-4BD6-AB62-CEEA2CF1C7AE}"/>
            </a:ext>
          </a:extLst>
        </xdr:cNvPr>
        <xdr:cNvSpPr>
          <a:spLocks/>
        </xdr:cNvSpPr>
      </xdr:nvSpPr>
      <xdr:spPr bwMode="auto">
        <a:xfrm>
          <a:off x="190690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DE5C50F3-464C-4D52-8C46-6C98E5936A91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8A7BA1C8-F9DF-4CF9-8234-B67DF3937FCD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89DE895B-7B73-457A-B9C0-29027ED36AE6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2BD3B6C8-8A5A-4998-BDEF-499EAB953594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F0C8F166-402B-4BC3-AB5F-87D929B5923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6CDB6229-145F-4071-AC2C-DCBBDA82FF8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63D18388-32E3-44E3-A708-E4594F2F9C85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90CCE59F-6695-4BB8-B6D2-77E31C82F12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19ED463B-C387-476E-937E-A622FCF36EF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BC8690F-9CDE-4142-8760-0AAA1C81CA5A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695CEC8E-E40F-4D6E-B3F5-21BB9E4B162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2C4A1B7A-2862-4F5C-A653-686CF625FC65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B3291173-3EDC-45B0-A50C-EEE8791214EE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3F5432F1-EA4C-48CF-958F-62CBEB2666D7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52015426-41AF-450D-B4D1-4BF1C08B8DF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DA628A-D3AA-4EC7-AB05-676A68C7E96E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85CE5218-687A-4C3B-9B7A-93ADE163D0B8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7BC4120A-C48D-488D-B470-CACFE507460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8C10CD65-FD99-48A1-8940-C6728E3C6172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0C4A8926-254D-4F13-A050-B1715A62F77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F61629A5-D144-460E-B4CF-6547FA6F2112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FE4F408D-2BA6-4F64-8071-530305C8B89E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8916D351-6DDB-4A9D-AEB7-F3109BF6D71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38902619-4C7D-43FA-A30C-91CBD90C113D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6DB33F92-D7B3-4EEF-8531-8386CEE096B3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102C0686-E9DF-444C-A2E6-DE73975BAAC7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D03B6F03-C077-4EDD-8978-B184277E9031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68766BFC-F537-4BEC-AB6C-D599AEF658F2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43E9AD12-FA4C-46BD-97EF-8EF6844BB874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DA80ABCB-C9E2-47B2-819F-B5E299492B37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A6DC9934-BF3E-41B2-9BEA-3DEF9021D64F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DF092470-6D7A-46C3-A971-29BC0B79E2C9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9ECED4CB-D0BB-49F5-B9F0-F77E6B6EFDD2}"/>
            </a:ext>
          </a:extLst>
        </xdr:cNvPr>
        <xdr:cNvSpPr>
          <a:spLocks/>
        </xdr:cNvSpPr>
      </xdr:nvSpPr>
      <xdr:spPr bwMode="auto">
        <a:xfrm>
          <a:off x="168402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9ADBC53A-4164-4630-AA53-E13319A18EAE}"/>
            </a:ext>
          </a:extLst>
        </xdr:cNvPr>
        <xdr:cNvSpPr>
          <a:spLocks/>
        </xdr:cNvSpPr>
      </xdr:nvSpPr>
      <xdr:spPr bwMode="auto">
        <a:xfrm>
          <a:off x="190690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7A4413CF-9450-42E9-91DD-784D1998C308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2EAAF59B-5A5A-483A-ABB8-7CB2B6E1ED6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BBB82EAD-4861-4693-88FB-2F5430A7C148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E34A1EB7-44F1-42C1-9ACF-C1AD58E90719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389E221B-D1B7-4653-A69E-48CA611EAB9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A0F10FEC-3529-4432-B023-E1466984FBF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70DDDC6-8ED0-4D78-AE77-3DDF1E1DBCCD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9278D536-A2EA-4670-94D9-62BF608A5BD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1BB860D7-6C8D-4839-93BF-8353F0F08F22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D4367AE9-8EE4-47FB-ACF2-49B9FBC87BF3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EE9EAA9D-106E-4B01-99D0-716D581CB55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A2247AD0-5BA5-4829-98B3-946EAFC05E5E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A519E2E8-CCC3-472B-BB24-C702EECB7C30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CE354F61-F08D-495E-80FC-C8DA968BC038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C370AF3F-3097-4C88-83AD-7E66D4B60136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59F24955-38D0-44B5-8F76-2DE1303E584E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8A78C5EF-447D-45FB-81FA-7363231CAA1B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CA39BAC6-700D-4775-A25E-64260691DB75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53723639-DDC8-43A6-A584-5F65F0AB1ABF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93D0C5F8-86B6-4B36-BD1A-74EBEBFCA6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A5068734-7EF2-4129-8D5B-145F39E0D142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F9C8E2D1-8B5A-4531-B13A-FA5EC7C73809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8395BE3B-DF23-4D6A-816E-86342FA42891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8BA711D5-65C9-4E39-B6E2-94FF36FF096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0C45EFEC-2EFD-46BB-92DC-12CA26EDC29B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E9D6C9BA-3964-4E4D-BE5F-3FF0DD6D7BC7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48C678DE-1D63-4938-8FBC-1259FECAA59A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3583C5C3-C830-4D28-842B-39411F954B45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9E377CF9-DA32-4913-9718-A72A982856DC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ED52507F-B180-4631-8BEF-547498077E28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0BA0565-A662-4530-ACB7-30D414B5FE88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CFC6824-BFA6-4046-8036-59973C516C73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46CD06F9-DA48-479A-8603-EDD39885260F}"/>
            </a:ext>
          </a:extLst>
        </xdr:cNvPr>
        <xdr:cNvSpPr>
          <a:spLocks/>
        </xdr:cNvSpPr>
      </xdr:nvSpPr>
      <xdr:spPr bwMode="auto">
        <a:xfrm>
          <a:off x="168402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81E7995-CF50-44E1-8C9C-BB10008D379F}"/>
            </a:ext>
          </a:extLst>
        </xdr:cNvPr>
        <xdr:cNvSpPr>
          <a:spLocks/>
        </xdr:cNvSpPr>
      </xdr:nvSpPr>
      <xdr:spPr bwMode="auto">
        <a:xfrm>
          <a:off x="190690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4BFC98D1-1341-43A1-815C-4AC59D7E8ADD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B481CEE9-6BFF-4A30-8874-C243678BC5B2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C1A6B526-87E7-4026-9477-F8A0F0A93ECA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5161E91-F63F-4946-A90E-F37B33FD6DB8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2B1FBA98-6D4E-43E8-B20E-8560CDB13C7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C404F340-28A4-41CD-8F38-5330C0C906F4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681F5984-7635-4092-95BF-12DBBD27469A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840E2F24-E289-4555-907D-CB6D95E618E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4BD25965-4AE4-465E-BD02-478635CF4553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2643513-02C9-4B93-BAAB-2CBBDB4FB1E6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DD1FA283-DCFE-4AAC-9EC8-D0C27F01AD59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4B317A5D-E553-437F-B8D5-DD37EBA6710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9B7D0C0A-EC09-4621-A4E4-AACB9A5E3EC7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DA9906E3-3248-4FAC-B9E5-70508AAD3F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D87AE210-EEA6-4AF5-B46C-F8C253491A3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C6F99BF0-1085-4436-AA3F-3ED1EF313304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3A7AB125-FCFA-4605-B716-FD4DDFDAF2CE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4CB2211E-8FDD-487A-990F-2183845D9AAB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FB8FF8C-3CFB-443B-9345-95D071E5A963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6B01146B-2DE9-4C09-B3C6-6A2D22D9E8F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254ABEB0-666F-4BD1-9CE0-97D1E21FEFDA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4E55C19F-D460-48D0-85ED-DB138CB11C13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CF95608C-1FCD-43F9-B898-CE0B65A0C01E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46159191-398F-4247-A5EF-553A6239108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3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24550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5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086600" y="272415"/>
          <a:ext cx="1028700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2055" name="Retângulo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>
          <a:spLocks noChangeArrowheads="1"/>
        </xdr:cNvSpPr>
      </xdr:nvSpPr>
      <xdr:spPr bwMode="auto">
        <a:xfrm>
          <a:off x="30765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49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/>
        </xdr:cNvSpPr>
      </xdr:nvSpPr>
      <xdr:spPr bwMode="auto">
        <a:xfrm>
          <a:off x="17145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50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/>
        </xdr:cNvSpPr>
      </xdr:nvSpPr>
      <xdr:spPr bwMode="auto">
        <a:xfrm>
          <a:off x="34766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51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/>
        </xdr:cNvSpPr>
      </xdr:nvSpPr>
      <xdr:spPr bwMode="auto">
        <a:xfrm>
          <a:off x="52387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52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/>
        </xdr:cNvSpPr>
      </xdr:nvSpPr>
      <xdr:spPr bwMode="auto">
        <a:xfrm>
          <a:off x="70008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53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/>
        </xdr:cNvSpPr>
      </xdr:nvSpPr>
      <xdr:spPr bwMode="auto">
        <a:xfrm>
          <a:off x="87630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54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/>
        </xdr:cNvSpPr>
      </xdr:nvSpPr>
      <xdr:spPr bwMode="auto">
        <a:xfrm>
          <a:off x="105251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55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/>
        </xdr:cNvSpPr>
      </xdr:nvSpPr>
      <xdr:spPr bwMode="auto">
        <a:xfrm>
          <a:off x="12287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48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>
          <a:grpSpLocks noChangeAspect="1"/>
        </xdr:cNvGrpSpPr>
      </xdr:nvGrpSpPr>
      <xdr:grpSpPr>
        <a:xfrm>
          <a:off x="17697450" y="1247775"/>
          <a:ext cx="128588" cy="128588"/>
          <a:chOff x="3409950" y="1047750"/>
          <a:chExt cx="142875" cy="142875"/>
        </a:xfrm>
      </xdr:grpSpPr>
      <xdr:sp macro="" textlink="">
        <xdr:nvSpPr>
          <xdr:cNvPr id="56" name="Forma Livre 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7" name="Forma Livre 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58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>
          <a:grpSpLocks noChangeAspect="1"/>
        </xdr:cNvGrpSpPr>
      </xdr:nvGrpSpPr>
      <xdr:grpSpPr>
        <a:xfrm>
          <a:off x="19926300" y="1247775"/>
          <a:ext cx="128588" cy="128588"/>
          <a:chOff x="3409950" y="1047750"/>
          <a:chExt cx="142875" cy="142875"/>
        </a:xfrm>
      </xdr:grpSpPr>
      <xdr:sp macro="" textlink="">
        <xdr:nvSpPr>
          <xdr:cNvPr id="59" name="Forma Livre 5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0" name="Forma Livre 6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61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62" name="Forma Livre 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3" name="Forma Livre 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64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65" name="Forma Livre 5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6" name="Forma Livre 6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67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68" name="Forma Livre 5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9" name="Forma Livre 6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70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71" name="Forma Livre 5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2" name="Forma Livre 6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73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74" name="Forma Livre 5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5" name="Forma Livre 6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76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77" name="Forma Livre 5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8" name="Forma Livre 6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1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1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lasses" displayName="tblAulas" ref="C14:C19" totalsRowShown="0" headerRowDxfId="135" dataDxfId="134">
  <tableColumns count="1">
    <tableColumn id="1" xr3:uid="{00000000-0010-0000-0000-000001000000}" name="Aulas" dataDxfId="133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ulas" altTextSummary="Lista das suas aulas programada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tivities" displayName="tblAtividades" ref="E14:E23" totalsRowShown="0" headerRowDxfId="132" dataDxfId="131">
  <tableColumns count="1">
    <tableColumn id="1" xr3:uid="{00000000-0010-0000-0100-000001000000}" name="Atividades" dataDxfId="130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tividades" altTextSummary="Lista de atividades como Discussão, Laboratório, Teste etc."/>
    </ext>
  </extLst>
</table>
</file>

<file path=xl/theme/theme1.xml><?xml version="1.0" encoding="utf-8"?>
<a:theme xmlns:a="http://schemas.openxmlformats.org/drawingml/2006/main" name="Office Theme">
  <a:themeElements>
    <a:clrScheme name="Homework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C2C2"/>
      </a:accent1>
      <a:accent2>
        <a:srgbClr val="FF911B"/>
      </a:accent2>
      <a:accent3>
        <a:srgbClr val="9BBB59"/>
      </a:accent3>
      <a:accent4>
        <a:srgbClr val="ED6D35"/>
      </a:accent4>
      <a:accent5>
        <a:srgbClr val="FAC758"/>
      </a:accent5>
      <a:accent6>
        <a:srgbClr val="A46FA4"/>
      </a:accent6>
      <a:hlink>
        <a:srgbClr val="5BC2C2"/>
      </a:hlink>
      <a:folHlink>
        <a:srgbClr val="A46FA4"/>
      </a:folHlink>
    </a:clrScheme>
    <a:fontScheme name="Homework Schedule">
      <a:majorFont>
        <a:latin typeface="Bookman Old Style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I23"/>
  <sheetViews>
    <sheetView showGridLines="0" workbookViewId="0"/>
  </sheetViews>
  <sheetFormatPr defaultRowHeight="13.5" x14ac:dyDescent="0.3"/>
  <cols>
    <col min="1" max="1" width="3.1640625" customWidth="1"/>
    <col min="2" max="2" width="6.33203125" customWidth="1"/>
    <col min="3" max="3" width="26.1640625" customWidth="1"/>
    <col min="4" max="4" width="5" customWidth="1"/>
    <col min="5" max="5" width="26.1640625" customWidth="1"/>
    <col min="6" max="6" width="5" customWidth="1"/>
    <col min="7" max="7" width="6.33203125" customWidth="1"/>
    <col min="8" max="8" width="55.33203125" bestFit="1" customWidth="1"/>
    <col min="9" max="9" width="5" customWidth="1"/>
  </cols>
  <sheetData>
    <row r="1" spans="1:9" ht="9.75" customHeight="1" thickBot="1" x14ac:dyDescent="0.65">
      <c r="C1" s="1"/>
    </row>
    <row r="2" spans="1:9" ht="44.25" customHeight="1" thickTop="1" thickBot="1" x14ac:dyDescent="0.35">
      <c r="A2" s="2"/>
      <c r="B2" s="23" t="s">
        <v>17</v>
      </c>
      <c r="C2" s="2"/>
      <c r="D2" s="2"/>
      <c r="E2" s="2"/>
      <c r="F2" s="2"/>
      <c r="G2" s="2"/>
      <c r="H2" s="2"/>
      <c r="I2" s="2"/>
    </row>
    <row r="3" spans="1:9" ht="13.5" customHeight="1" thickTop="1" x14ac:dyDescent="0.3"/>
    <row r="4" spans="1:9" ht="29.25" customHeight="1" x14ac:dyDescent="0.3">
      <c r="B4" s="25">
        <v>1</v>
      </c>
      <c r="C4" s="32" t="s">
        <v>24</v>
      </c>
      <c r="D4" s="32"/>
      <c r="E4" s="32"/>
      <c r="G4" s="25">
        <v>5</v>
      </c>
      <c r="H4" s="32" t="s">
        <v>27</v>
      </c>
      <c r="I4" s="32"/>
    </row>
    <row r="5" spans="1:9" ht="6" customHeight="1" x14ac:dyDescent="0.3">
      <c r="H5" s="33"/>
      <c r="I5" s="33"/>
    </row>
    <row r="6" spans="1:9" ht="33" customHeight="1" x14ac:dyDescent="0.3">
      <c r="B6" s="25">
        <v>2</v>
      </c>
      <c r="C6" s="32" t="s">
        <v>23</v>
      </c>
      <c r="D6" s="32"/>
      <c r="E6" s="32"/>
      <c r="G6" s="25">
        <v>6</v>
      </c>
      <c r="H6" s="32" t="s">
        <v>29</v>
      </c>
      <c r="I6" s="32"/>
    </row>
    <row r="7" spans="1:9" ht="6" customHeight="1" x14ac:dyDescent="0.3">
      <c r="H7" s="33"/>
      <c r="I7" s="33"/>
    </row>
    <row r="8" spans="1:9" ht="33" customHeight="1" x14ac:dyDescent="0.3">
      <c r="B8" s="25">
        <v>3</v>
      </c>
      <c r="C8" s="32" t="s">
        <v>25</v>
      </c>
      <c r="D8" s="32"/>
      <c r="E8" s="32"/>
      <c r="G8" s="25">
        <v>7</v>
      </c>
      <c r="H8" s="32" t="s">
        <v>28</v>
      </c>
      <c r="I8" s="32"/>
    </row>
    <row r="9" spans="1:9" ht="6" customHeight="1" x14ac:dyDescent="0.3">
      <c r="H9" s="33"/>
      <c r="I9" s="33"/>
    </row>
    <row r="10" spans="1:9" ht="33" customHeight="1" x14ac:dyDescent="0.3">
      <c r="B10" s="25">
        <v>4</v>
      </c>
      <c r="C10" s="32" t="s">
        <v>21</v>
      </c>
      <c r="D10" s="32"/>
      <c r="E10" s="32"/>
      <c r="G10" s="25">
        <v>8</v>
      </c>
      <c r="H10" s="32" t="s">
        <v>19</v>
      </c>
      <c r="I10" s="32"/>
    </row>
    <row r="11" spans="1:9" x14ac:dyDescent="0.3">
      <c r="H11" s="33"/>
      <c r="I11" s="33"/>
    </row>
    <row r="12" spans="1:9" ht="33" customHeight="1" x14ac:dyDescent="0.6">
      <c r="C12" s="1"/>
      <c r="G12" s="25">
        <v>9</v>
      </c>
      <c r="H12" s="32" t="s">
        <v>20</v>
      </c>
      <c r="I12" s="32"/>
    </row>
    <row r="13" spans="1:9" ht="30.75" x14ac:dyDescent="0.6">
      <c r="C13" s="1"/>
    </row>
    <row r="14" spans="1:9" ht="18" x14ac:dyDescent="0.3">
      <c r="C14" s="21" t="s">
        <v>2</v>
      </c>
      <c r="E14" s="21" t="s">
        <v>15</v>
      </c>
      <c r="H14" s="26" t="s">
        <v>18</v>
      </c>
      <c r="I14" s="29">
        <v>5</v>
      </c>
    </row>
    <row r="15" spans="1:9" ht="15.75" customHeight="1" x14ac:dyDescent="0.3">
      <c r="C15" s="22" t="s">
        <v>11</v>
      </c>
      <c r="E15" s="22" t="s">
        <v>1</v>
      </c>
    </row>
    <row r="16" spans="1:9" ht="15.75" customHeight="1" x14ac:dyDescent="0.3">
      <c r="C16" s="22" t="s">
        <v>12</v>
      </c>
      <c r="E16" s="22" t="s">
        <v>4</v>
      </c>
    </row>
    <row r="17" spans="3:5" ht="15.75" customHeight="1" x14ac:dyDescent="0.3">
      <c r="C17" s="22" t="s">
        <v>13</v>
      </c>
      <c r="E17" s="22" t="s">
        <v>3</v>
      </c>
    </row>
    <row r="18" spans="3:5" ht="15.75" customHeight="1" x14ac:dyDescent="0.3">
      <c r="C18" s="22" t="s">
        <v>14</v>
      </c>
      <c r="E18" s="22" t="s">
        <v>5</v>
      </c>
    </row>
    <row r="19" spans="3:5" ht="15.75" customHeight="1" x14ac:dyDescent="0.3">
      <c r="C19" s="22" t="s">
        <v>22</v>
      </c>
      <c r="E19" s="22" t="s">
        <v>0</v>
      </c>
    </row>
    <row r="20" spans="3:5" ht="15.75" customHeight="1" x14ac:dyDescent="0.3">
      <c r="E20" s="22" t="s">
        <v>7</v>
      </c>
    </row>
    <row r="21" spans="3:5" ht="15.75" customHeight="1" x14ac:dyDescent="0.3">
      <c r="E21" s="22" t="s">
        <v>8</v>
      </c>
    </row>
    <row r="22" spans="3:5" ht="15.75" customHeight="1" x14ac:dyDescent="0.3">
      <c r="E22" s="22" t="s">
        <v>9</v>
      </c>
    </row>
    <row r="23" spans="3:5" ht="15.75" customHeight="1" x14ac:dyDescent="0.3">
      <c r="E23" s="22" t="s">
        <v>6</v>
      </c>
    </row>
  </sheetData>
  <sheetProtection selectLockedCells="1"/>
  <sortState xmlns:xlrd2="http://schemas.microsoft.com/office/spreadsheetml/2017/richdata2" ref="E2:E10">
    <sortCondition ref="E2"/>
  </sortState>
  <mergeCells count="13">
    <mergeCell ref="H12:I12"/>
    <mergeCell ref="H5:I5"/>
    <mergeCell ref="H7:I7"/>
    <mergeCell ref="H9:I9"/>
    <mergeCell ref="H11:I11"/>
    <mergeCell ref="C4:E4"/>
    <mergeCell ref="C6:E6"/>
    <mergeCell ref="C8:E8"/>
    <mergeCell ref="C10:E10"/>
    <mergeCell ref="H4:I4"/>
    <mergeCell ref="H6:I6"/>
    <mergeCell ref="H8:I8"/>
    <mergeCell ref="H10:I10"/>
  </mergeCells>
  <dataValidations count="1">
    <dataValidation type="whole" showInputMessage="1" showErrorMessage="1" errorTitle="Ops!" error="Esta agenda não foi criada para mais de 13 linhas por dia e precisa de pelo menos três linhas por dia para funcionar corretamente." sqref="I14" xr:uid="{00000000-0002-0000-0000-000000000000}">
      <formula1>3</formula1>
      <formula2>13</formula2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8276-9C9E-462B-A567-BD2C18C57C95}">
  <sheetPr codeName="Sheet4">
    <tabColor theme="5"/>
    <pageSetUpPr fitToPage="1"/>
  </sheetPr>
  <dimension ref="A1:X103"/>
  <sheetViews>
    <sheetView showGridLines="0" tabSelected="1" topLeftCell="A4" zoomScaleNormal="100" workbookViewId="0">
      <selection activeCell="R30" sqref="R30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37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44704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44704</v>
      </c>
      <c r="C7" s="19">
        <v>8</v>
      </c>
      <c r="D7" s="46"/>
      <c r="E7" s="47">
        <v>0.33333333333333331</v>
      </c>
      <c r="F7" s="48" t="s">
        <v>35</v>
      </c>
      <c r="G7" s="14"/>
      <c r="H7" s="39">
        <v>0.34722222222222227</v>
      </c>
      <c r="I7" s="40" t="s">
        <v>31</v>
      </c>
      <c r="J7" s="14"/>
      <c r="K7" s="39">
        <v>0.5</v>
      </c>
      <c r="L7" s="40" t="s">
        <v>36</v>
      </c>
      <c r="M7" s="14"/>
      <c r="N7" s="39">
        <v>0.54166666666666663</v>
      </c>
      <c r="O7" s="40" t="s">
        <v>31</v>
      </c>
      <c r="P7" s="14"/>
      <c r="Q7" s="39">
        <v>0.75</v>
      </c>
      <c r="R7" s="40" t="s">
        <v>32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46"/>
      <c r="E8" s="49"/>
      <c r="F8" s="50" t="s">
        <v>33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46"/>
      <c r="E9" s="49"/>
      <c r="F9" s="51"/>
      <c r="G9" s="14"/>
      <c r="H9" s="38"/>
      <c r="I9" s="10"/>
      <c r="J9" s="14"/>
      <c r="K9" s="38"/>
      <c r="L9" s="10"/>
      <c r="M9" s="14"/>
      <c r="N9" s="38"/>
      <c r="O9" s="10"/>
      <c r="P9" s="14"/>
      <c r="Q9" s="38"/>
      <c r="R9" s="41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46"/>
      <c r="E10" s="49"/>
      <c r="F10" s="52"/>
      <c r="G10" s="14"/>
      <c r="H10" s="38"/>
      <c r="I10" s="10"/>
      <c r="J10" s="14"/>
      <c r="K10" s="38"/>
      <c r="L10" s="10"/>
      <c r="M10" s="14"/>
      <c r="N10" s="38"/>
      <c r="O10" s="10"/>
      <c r="P10" s="14"/>
      <c r="Q10" s="38"/>
      <c r="R10" s="10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46"/>
      <c r="E11" s="49"/>
      <c r="F11" s="52"/>
      <c r="G11" s="14"/>
      <c r="H11" s="38"/>
      <c r="I11" s="10"/>
      <c r="J11" s="14"/>
      <c r="K11" s="38"/>
      <c r="L11" s="10"/>
      <c r="M11" s="14"/>
      <c r="N11" s="38"/>
      <c r="O11" s="10"/>
      <c r="P11" s="14"/>
      <c r="Q11" s="38"/>
      <c r="R11" s="10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44705</v>
      </c>
      <c r="C12" s="19">
        <v>8</v>
      </c>
      <c r="D12" s="53"/>
      <c r="E12" s="54">
        <v>0.33333333333333331</v>
      </c>
      <c r="F12" s="55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44706</v>
      </c>
      <c r="C17" s="20">
        <v>8</v>
      </c>
      <c r="D17" s="53"/>
      <c r="E17" s="54">
        <v>0.33333333333333331</v>
      </c>
      <c r="F17" s="55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44707</v>
      </c>
      <c r="C22" s="20">
        <v>8</v>
      </c>
      <c r="D22" s="53"/>
      <c r="E22" s="54">
        <v>0.33333333333333331</v>
      </c>
      <c r="F22" s="55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72" x14ac:dyDescent="0.35">
      <c r="B27" s="30">
        <f ca="1">Dia_da_Agenda</f>
        <v>44708</v>
      </c>
      <c r="C27" s="20">
        <v>8</v>
      </c>
      <c r="D27" s="53"/>
      <c r="E27" s="54">
        <v>0.33333333333333331</v>
      </c>
      <c r="F27" s="55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53"/>
      <c r="N27" s="54">
        <v>0.54166666666666663</v>
      </c>
      <c r="O27" s="59" t="s">
        <v>41</v>
      </c>
      <c r="P27" s="53"/>
      <c r="Q27" s="54">
        <v>0.75</v>
      </c>
      <c r="R27" s="59" t="s">
        <v>39</v>
      </c>
      <c r="S27" s="14"/>
      <c r="T27" s="38"/>
      <c r="U27" s="10"/>
      <c r="V27" s="14"/>
      <c r="W27" s="38"/>
      <c r="X27" s="10"/>
    </row>
    <row r="28" spans="2:24" ht="18" x14ac:dyDescent="0.35">
      <c r="B28" s="30" t="str">
        <f ca="1">Dia_da_Agenda</f>
        <v/>
      </c>
      <c r="C28" s="20"/>
      <c r="D28" s="53"/>
      <c r="E28" s="56"/>
      <c r="F28" s="57" t="s">
        <v>33</v>
      </c>
      <c r="G28" s="14"/>
      <c r="H28" s="38"/>
      <c r="I28" s="10"/>
      <c r="J28" s="14"/>
      <c r="K28" s="38"/>
      <c r="L28" s="10"/>
      <c r="M28" s="53"/>
      <c r="N28" s="56"/>
      <c r="O28" s="58"/>
      <c r="P28" s="53"/>
      <c r="Q28" s="56"/>
      <c r="R28" s="57" t="s">
        <v>33</v>
      </c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53"/>
      <c r="N29" s="56"/>
      <c r="O29" s="58"/>
      <c r="P29" s="53"/>
      <c r="Q29" s="56"/>
      <c r="R29" s="6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53"/>
      <c r="N30" s="56"/>
      <c r="O30" s="58"/>
      <c r="P30" s="53"/>
      <c r="Q30" s="56"/>
      <c r="R30" s="58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53"/>
      <c r="N31" s="56"/>
      <c r="O31" s="58"/>
      <c r="P31" s="53"/>
      <c r="Q31" s="56"/>
      <c r="R31" s="58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44709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44710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59" priority="41">
      <formula>ISODD(VALUE(Dias_da_Agenda))</formula>
    </cfRule>
  </conditionalFormatting>
  <conditionalFormatting sqref="S7:S39">
    <cfRule type="expression" dxfId="58" priority="38">
      <formula>(Dias_da_Agenda-DataInícioSemana)&gt;6</formula>
    </cfRule>
    <cfRule type="expression" dxfId="57" priority="39">
      <formula>ISEVEN(VALUE(Dias_da_Agenda))</formula>
    </cfRule>
  </conditionalFormatting>
  <conditionalFormatting sqref="V7:V39">
    <cfRule type="expression" dxfId="56" priority="36">
      <formula>(Dias_da_Agenda-DataInícioSemana)&gt;6</formula>
    </cfRule>
    <cfRule type="expression" dxfId="55" priority="37">
      <formula>ISEVEN(VALUE(Dias_da_Agenda))</formula>
    </cfRule>
  </conditionalFormatting>
  <conditionalFormatting sqref="B33:C39 D33:F41 B32:F32 S32:X39 B10:X26 B9:Q9 S7:X9 B7:D8 B30:X31 B27:M27 P27:Q27 B28:Q29 S27:X29">
    <cfRule type="expression" dxfId="54" priority="40">
      <formula>(Dias_da_Agenda-DataInícioSemana)&gt;6</formula>
    </cfRule>
    <cfRule type="expression" dxfId="53" priority="42">
      <formula>ISEVEN(VALUE(Dias_da_Agenda))</formula>
    </cfRule>
  </conditionalFormatting>
  <conditionalFormatting sqref="B40:C103">
    <cfRule type="expression" dxfId="52" priority="34">
      <formula>ISODD(VALUE(Dias_da_Agenda))</formula>
    </cfRule>
  </conditionalFormatting>
  <conditionalFormatting sqref="S40:S103">
    <cfRule type="expression" dxfId="51" priority="31">
      <formula>(Dias_da_Agenda-DataInícioSemana)&gt;6</formula>
    </cfRule>
    <cfRule type="expression" dxfId="50" priority="32">
      <formula>ISEVEN(VALUE(Dias_da_Agenda))</formula>
    </cfRule>
  </conditionalFormatting>
  <conditionalFormatting sqref="V40:V103">
    <cfRule type="expression" dxfId="49" priority="29">
      <formula>(Dias_da_Agenda-DataInícioSemana)&gt;6</formula>
    </cfRule>
    <cfRule type="expression" dxfId="48" priority="30">
      <formula>ISEVEN(VALUE(Dias_da_Agenda))</formula>
    </cfRule>
  </conditionalFormatting>
  <conditionalFormatting sqref="B42:X103 B40:C41 S40:X41">
    <cfRule type="expression" dxfId="47" priority="33">
      <formula>(Dias_da_Agenda-DataInícioSemana)&gt;6</formula>
    </cfRule>
    <cfRule type="expression" dxfId="46" priority="35">
      <formula>ISEVEN(VALUE(Dias_da_Agenda))</formula>
    </cfRule>
  </conditionalFormatting>
  <conditionalFormatting sqref="G32:I41">
    <cfRule type="expression" dxfId="45" priority="26">
      <formula>(Dias_da_Agenda-DataInícioSemana)&gt;6</formula>
    </cfRule>
    <cfRule type="expression" dxfId="44" priority="27">
      <formula>ISEVEN(VALUE(Dias_da_Agenda))</formula>
    </cfRule>
  </conditionalFormatting>
  <conditionalFormatting sqref="J32:L41">
    <cfRule type="expression" dxfId="43" priority="23">
      <formula>(Dias_da_Agenda-DataInícioSemana)&gt;6</formula>
    </cfRule>
    <cfRule type="expression" dxfId="42" priority="24">
      <formula>ISEVEN(VALUE(Dias_da_Agenda))</formula>
    </cfRule>
  </conditionalFormatting>
  <conditionalFormatting sqref="M32:O41">
    <cfRule type="expression" dxfId="41" priority="20">
      <formula>(Dias_da_Agenda-DataInícioSemana)&gt;6</formula>
    </cfRule>
    <cfRule type="expression" dxfId="40" priority="21">
      <formula>ISEVEN(VALUE(Dias_da_Agenda))</formula>
    </cfRule>
  </conditionalFormatting>
  <conditionalFormatting sqref="P32:R41">
    <cfRule type="expression" dxfId="39" priority="17">
      <formula>(Dias_da_Agenda-DataInícioSemana)&gt;6</formula>
    </cfRule>
    <cfRule type="expression" dxfId="38" priority="18">
      <formula>ISEVEN(VALUE(Dias_da_Agenda))</formula>
    </cfRule>
  </conditionalFormatting>
  <conditionalFormatting sqref="R9">
    <cfRule type="expression" dxfId="37" priority="15">
      <formula>(Dias_da_Agenda-DataInícioSemana)&gt;6</formula>
    </cfRule>
    <cfRule type="expression" dxfId="36" priority="16">
      <formula>ISEVEN(VALUE(Dias_da_Agenda))</formula>
    </cfRule>
  </conditionalFormatting>
  <conditionalFormatting sqref="E7:R8">
    <cfRule type="expression" dxfId="35" priority="9">
      <formula>(Dias_da_Agenda-DataInícioSemana)&gt;6</formula>
    </cfRule>
    <cfRule type="expression" dxfId="34" priority="10">
      <formula>ISEVEN(VALUE(Dias_da_Agenda))</formula>
    </cfRule>
  </conditionalFormatting>
  <conditionalFormatting sqref="N27">
    <cfRule type="expression" dxfId="33" priority="7">
      <formula>(Dias_da_Agenda-DataInícioSemana)&gt;6</formula>
    </cfRule>
    <cfRule type="expression" dxfId="32" priority="8">
      <formula>ISEVEN(VALUE(Dias_da_Agenda))</formula>
    </cfRule>
  </conditionalFormatting>
  <conditionalFormatting sqref="O27">
    <cfRule type="expression" dxfId="31" priority="5">
      <formula>(Dias_da_Agenda-DataInícioSemana)&gt;6</formula>
    </cfRule>
    <cfRule type="expression" dxfId="30" priority="6">
      <formula>ISEVEN(VALUE(Dias_da_Agenda))</formula>
    </cfRule>
  </conditionalFormatting>
  <conditionalFormatting sqref="R28:R29">
    <cfRule type="expression" dxfId="29" priority="3">
      <formula>(Dias_da_Agenda-DataInícioSemana)&gt;6</formula>
    </cfRule>
    <cfRule type="expression" dxfId="28" priority="4">
      <formula>ISEVEN(VALUE(Dias_da_Agenda))</formula>
    </cfRule>
  </conditionalFormatting>
  <conditionalFormatting sqref="R27">
    <cfRule type="expression" dxfId="27" priority="1">
      <formula>(Dias_da_Agenda-DataInícioSemana)&gt;6</formula>
    </cfRule>
    <cfRule type="expression" dxfId="26" priority="2">
      <formula>ISEVEN(VALUE(Dias_da_Agenda))</formula>
    </cfRule>
  </conditionalFormatting>
  <dataValidations count="4">
    <dataValidation type="list" allowBlank="1" showInputMessage="1" sqref="X4 U4 R4 L4 O4" xr:uid="{BC9CA392-169F-49D0-972F-7535CABA3619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1E79EF1E-02EB-4679-BBFF-C62BB189C6DE}">
      <formula1>40544</formula1>
    </dataValidation>
    <dataValidation allowBlank="1" showInputMessage="1" sqref="F1:F6 I1:I6" xr:uid="{79D5754B-AD47-481F-AA4C-F5DD19CDC991}"/>
    <dataValidation type="list" allowBlank="1" showInputMessage="1" sqref="F7:F1048576 I7:I1048576 L7:L1048576 O7:O1048576 U7:U1048576 X7:X1048576 R7:R1048576" xr:uid="{6AA1D83F-5E71-4102-9CF4-9D8853B6CEA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3" id="{AB61FB6F-FCC8-4A1D-930F-CB262F968C9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44" id="{206BBEDF-8722-4EE8-B282-3C9D2E1571B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45" id="{FA6B20B4-E680-436D-A644-609D11120B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46" id="{2D5636EE-8239-47EF-A6F8-C39F69FAB9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47" id="{3FEA50EF-E3A1-440D-8C7F-EBBFB6EC79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48" id="{8367BF23-B8DF-49FA-8E97-7EE8933D24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49" id="{3C05CDD8-2EAF-4DCA-8B0A-7ED7902D78F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28" id="{20440AD8-7C84-4839-8E55-FFE42973E1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25" id="{9572B2CA-343D-4F0A-9B2D-6251E825CA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22" id="{FAE4D4BB-577C-415B-AD20-E3B12E457C1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19" id="{32117F59-C980-4DAB-8A04-9478679592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11" id="{55F18ACE-4EF0-4973-B9F2-634B3C7AC5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12" id="{56B8C5C2-3592-4F33-A03C-F735652509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13" id="{260E2E21-7D65-4FE6-9535-0D1E39AFD2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14" id="{5BF859AD-54A2-4BD1-8FD1-19BDE0BF72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8F02F-8547-42E7-9B38-1BCD641D962E}">
  <sheetPr codeName="Sheet5">
    <tabColor theme="5"/>
    <pageSetUpPr fitToPage="1"/>
  </sheetPr>
  <dimension ref="A1:X103"/>
  <sheetViews>
    <sheetView showGridLines="0" topLeftCell="A4" zoomScaleNormal="100" workbookViewId="0">
      <selection activeCell="F7" sqref="F7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37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44697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44697</v>
      </c>
      <c r="C7" s="19">
        <v>8</v>
      </c>
      <c r="D7" s="53"/>
      <c r="E7" s="54">
        <v>0.33333333333333331</v>
      </c>
      <c r="F7" s="55" t="s">
        <v>35</v>
      </c>
      <c r="G7" s="14"/>
      <c r="H7" s="39">
        <v>0.34722222222222227</v>
      </c>
      <c r="I7" s="40" t="s">
        <v>31</v>
      </c>
      <c r="J7" s="14"/>
      <c r="K7" s="39">
        <v>0.5</v>
      </c>
      <c r="L7" s="40" t="s">
        <v>36</v>
      </c>
      <c r="M7" s="14"/>
      <c r="N7" s="39">
        <v>0.54166666666666663</v>
      </c>
      <c r="O7" s="40" t="s">
        <v>31</v>
      </c>
      <c r="P7" s="14"/>
      <c r="Q7" s="39">
        <v>0.75</v>
      </c>
      <c r="R7" s="40" t="s">
        <v>32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3"/>
      <c r="E8" s="56"/>
      <c r="F8" s="57" t="s">
        <v>33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53"/>
      <c r="E9" s="56"/>
      <c r="F9" s="60"/>
      <c r="G9" s="14"/>
      <c r="H9" s="38"/>
      <c r="I9" s="10"/>
      <c r="J9" s="14"/>
      <c r="K9" s="38"/>
      <c r="L9" s="10"/>
      <c r="M9" s="14"/>
      <c r="N9" s="38"/>
      <c r="O9" s="10"/>
      <c r="P9" s="14"/>
      <c r="Q9" s="38"/>
      <c r="R9" s="41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3"/>
      <c r="E10" s="56"/>
      <c r="F10" s="58"/>
      <c r="G10" s="14"/>
      <c r="H10" s="38"/>
      <c r="I10" s="10"/>
      <c r="J10" s="14"/>
      <c r="K10" s="38"/>
      <c r="L10" s="10"/>
      <c r="M10" s="14"/>
      <c r="N10" s="38"/>
      <c r="O10" s="10"/>
      <c r="P10" s="14"/>
      <c r="Q10" s="38"/>
      <c r="R10" s="10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3"/>
      <c r="E11" s="56"/>
      <c r="F11" s="58"/>
      <c r="G11" s="14"/>
      <c r="H11" s="38"/>
      <c r="I11" s="10"/>
      <c r="J11" s="14"/>
      <c r="K11" s="38"/>
      <c r="L11" s="10"/>
      <c r="M11" s="14"/>
      <c r="N11" s="38"/>
      <c r="O11" s="10"/>
      <c r="P11" s="14"/>
      <c r="Q11" s="38"/>
      <c r="R11" s="10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44698</v>
      </c>
      <c r="C12" s="19">
        <v>8</v>
      </c>
      <c r="D12" s="53"/>
      <c r="E12" s="54">
        <v>0.33333333333333331</v>
      </c>
      <c r="F12" s="55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44699</v>
      </c>
      <c r="C17" s="20">
        <v>8</v>
      </c>
      <c r="D17" s="53"/>
      <c r="E17" s="54">
        <v>0.33333333333333331</v>
      </c>
      <c r="F17" s="55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44700</v>
      </c>
      <c r="C22" s="20">
        <v>8</v>
      </c>
      <c r="D22" s="53"/>
      <c r="E22" s="54">
        <v>0.33333333333333331</v>
      </c>
      <c r="F22" s="55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44701</v>
      </c>
      <c r="C27" s="20">
        <v>8</v>
      </c>
      <c r="D27" s="53"/>
      <c r="E27" s="54">
        <v>0.33333333333333331</v>
      </c>
      <c r="F27" s="55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14"/>
      <c r="N27" s="39">
        <v>0.54166666666666663</v>
      </c>
      <c r="O27" s="40" t="s">
        <v>31</v>
      </c>
      <c r="P27" s="14"/>
      <c r="Q27" s="39">
        <v>0.75</v>
      </c>
      <c r="R27" s="40" t="s">
        <v>32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3"/>
      <c r="E28" s="56"/>
      <c r="F28" s="57" t="s">
        <v>33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44702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44703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25" priority="33">
      <formula>ISODD(VALUE(Dias_da_Agenda))</formula>
    </cfRule>
  </conditionalFormatting>
  <conditionalFormatting sqref="S7:S39">
    <cfRule type="expression" dxfId="24" priority="30">
      <formula>(Dias_da_Agenda-DataInícioSemana)&gt;6</formula>
    </cfRule>
    <cfRule type="expression" dxfId="23" priority="31">
      <formula>ISEVEN(VALUE(Dias_da_Agenda))</formula>
    </cfRule>
  </conditionalFormatting>
  <conditionalFormatting sqref="V7:V39">
    <cfRule type="expression" dxfId="22" priority="28">
      <formula>(Dias_da_Agenda-DataInícioSemana)&gt;6</formula>
    </cfRule>
    <cfRule type="expression" dxfId="21" priority="29">
      <formula>ISEVEN(VALUE(Dias_da_Agenda))</formula>
    </cfRule>
  </conditionalFormatting>
  <conditionalFormatting sqref="B33:C39 D33:F41 B32:F32 S32:X39 B10:X31 B9:Q9 S7:X9 B7:D8">
    <cfRule type="expression" dxfId="20" priority="32">
      <formula>(Dias_da_Agenda-DataInícioSemana)&gt;6</formula>
    </cfRule>
    <cfRule type="expression" dxfId="19" priority="34">
      <formula>ISEVEN(VALUE(Dias_da_Agenda))</formula>
    </cfRule>
  </conditionalFormatting>
  <conditionalFormatting sqref="B40:C103">
    <cfRule type="expression" dxfId="18" priority="26">
      <formula>ISODD(VALUE(Dias_da_Agenda))</formula>
    </cfRule>
  </conditionalFormatting>
  <conditionalFormatting sqref="S40:S103">
    <cfRule type="expression" dxfId="17" priority="23">
      <formula>(Dias_da_Agenda-DataInícioSemana)&gt;6</formula>
    </cfRule>
    <cfRule type="expression" dxfId="16" priority="24">
      <formula>ISEVEN(VALUE(Dias_da_Agenda))</formula>
    </cfRule>
  </conditionalFormatting>
  <conditionalFormatting sqref="V40:V103">
    <cfRule type="expression" dxfId="15" priority="21">
      <formula>(Dias_da_Agenda-DataInícioSemana)&gt;6</formula>
    </cfRule>
    <cfRule type="expression" dxfId="14" priority="22">
      <formula>ISEVEN(VALUE(Dias_da_Agenda))</formula>
    </cfRule>
  </conditionalFormatting>
  <conditionalFormatting sqref="B42:X103 B40:C41 S40:X41">
    <cfRule type="expression" dxfId="13" priority="25">
      <formula>(Dias_da_Agenda-DataInícioSemana)&gt;6</formula>
    </cfRule>
    <cfRule type="expression" dxfId="12" priority="27">
      <formula>ISEVEN(VALUE(Dias_da_Agenda))</formula>
    </cfRule>
  </conditionalFormatting>
  <conditionalFormatting sqref="G32:I41">
    <cfRule type="expression" dxfId="11" priority="18">
      <formula>(Dias_da_Agenda-DataInícioSemana)&gt;6</formula>
    </cfRule>
    <cfRule type="expression" dxfId="10" priority="19">
      <formula>ISEVEN(VALUE(Dias_da_Agenda))</formula>
    </cfRule>
  </conditionalFormatting>
  <conditionalFormatting sqref="J32:L41">
    <cfRule type="expression" dxfId="9" priority="15">
      <formula>(Dias_da_Agenda-DataInícioSemana)&gt;6</formula>
    </cfRule>
    <cfRule type="expression" dxfId="8" priority="16">
      <formula>ISEVEN(VALUE(Dias_da_Agenda))</formula>
    </cfRule>
  </conditionalFormatting>
  <conditionalFormatting sqref="M32:O41">
    <cfRule type="expression" dxfId="7" priority="12">
      <formula>(Dias_da_Agenda-DataInícioSemana)&gt;6</formula>
    </cfRule>
    <cfRule type="expression" dxfId="6" priority="13">
      <formula>ISEVEN(VALUE(Dias_da_Agenda))</formula>
    </cfRule>
  </conditionalFormatting>
  <conditionalFormatting sqref="P32:R41">
    <cfRule type="expression" dxfId="5" priority="9">
      <formula>(Dias_da_Agenda-DataInícioSemana)&gt;6</formula>
    </cfRule>
    <cfRule type="expression" dxfId="4" priority="10">
      <formula>ISEVEN(VALUE(Dias_da_Agenda))</formula>
    </cfRule>
  </conditionalFormatting>
  <conditionalFormatting sqref="R9">
    <cfRule type="expression" dxfId="3" priority="7">
      <formula>(Dias_da_Agenda-DataInícioSemana)&gt;6</formula>
    </cfRule>
    <cfRule type="expression" dxfId="2" priority="8">
      <formula>ISEVEN(VALUE(Dias_da_Agenda))</formula>
    </cfRule>
  </conditionalFormatting>
  <conditionalFormatting sqref="E7:R8">
    <cfRule type="expression" dxfId="1" priority="1">
      <formula>(Dias_da_Agenda-DataInícioSemana)&gt;6</formula>
    </cfRule>
    <cfRule type="expression" dxfId="0" priority="2">
      <formula>ISEVEN(VALUE(Dias_da_Agenda))</formula>
    </cfRule>
  </conditionalFormatting>
  <dataValidations count="4">
    <dataValidation type="list" allowBlank="1" showInputMessage="1" sqref="X4 U4 R4 L4 O4" xr:uid="{055238FB-1F83-4C45-AAC0-DA88AA9342AC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ADB78EEA-62A8-4303-8AE4-E086E3AC81BD}">
      <formula1>40544</formula1>
    </dataValidation>
    <dataValidation allowBlank="1" showInputMessage="1" sqref="F1:F6 I1:I6" xr:uid="{9B90AF9C-0297-4059-A27E-5BA5B1CD8E83}"/>
    <dataValidation type="list" allowBlank="1" showInputMessage="1" sqref="F7:F1048576 I7:I1048576 L7:L1048576 R7:R1048576 U7:U1048576 X7:X1048576 O7:O1048576" xr:uid="{B1DD7897-0CF5-4FEA-BA50-231504568D69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5" id="{5925EA19-D391-4962-8908-83F171BAA6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36" id="{6EEA38D9-CE30-4CA4-9B44-24AAD52A1C2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37" id="{FCA576DE-540E-4E79-932A-42C9B72CACC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38" id="{DF810F56-436D-4CC6-80D0-77B2483FDF8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39" id="{DA5D49D4-7FA4-461C-8CAD-A4B157B9B20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40" id="{5611D71E-C3DD-40D4-A4E5-1DDA21B564F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41" id="{DF15F20B-DD11-4464-A372-E79614FB1E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20" id="{BAE25156-52E8-4F3F-8873-555ADD7A418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7" id="{0F65BB89-C0C0-4853-A24A-C176A6FD0AD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4" id="{38255C8F-A6EF-488F-9FEE-7DADFC0118B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11" id="{C85A2934-A196-4892-8174-0ECE8C1FAA4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3" id="{329F05EC-D6CA-4504-A550-E6EA3164CB4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4" id="{FCB55F5A-5939-445C-9F59-35EC0A5FAA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5" id="{F39098F7-A3F2-4207-9818-4D5C75F605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6" id="{0871F903-7C10-4F80-9305-9994BDCDFF5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0DB0-9EE4-46F1-B4DB-44DEF6B4A5A1}">
  <sheetPr codeName="Sheet3">
    <tabColor theme="5"/>
    <pageSetUpPr fitToPage="1"/>
  </sheetPr>
  <dimension ref="A1:X103"/>
  <sheetViews>
    <sheetView showGridLines="0" topLeftCell="A4" zoomScaleNormal="100" workbookViewId="0">
      <selection activeCell="B6" sqref="B6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37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44690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44690</v>
      </c>
      <c r="C7" s="19">
        <v>8</v>
      </c>
      <c r="D7" s="53"/>
      <c r="E7" s="54">
        <v>0.33333333333333331</v>
      </c>
      <c r="F7" s="55" t="s">
        <v>35</v>
      </c>
      <c r="G7" s="14"/>
      <c r="H7" s="39">
        <v>0.34722222222222227</v>
      </c>
      <c r="I7" s="40" t="s">
        <v>31</v>
      </c>
      <c r="J7" s="14"/>
      <c r="K7" s="39">
        <v>0.5</v>
      </c>
      <c r="L7" s="40" t="s">
        <v>36</v>
      </c>
      <c r="M7" s="14"/>
      <c r="N7" s="39">
        <v>0.54166666666666663</v>
      </c>
      <c r="O7" s="40" t="s">
        <v>31</v>
      </c>
      <c r="P7" s="14"/>
      <c r="Q7" s="39">
        <v>0.75</v>
      </c>
      <c r="R7" s="40" t="s">
        <v>32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3"/>
      <c r="E8" s="56"/>
      <c r="F8" s="57" t="s">
        <v>33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53"/>
      <c r="E9" s="56"/>
      <c r="F9" s="60"/>
      <c r="G9" s="14"/>
      <c r="H9" s="38"/>
      <c r="I9" s="10"/>
      <c r="J9" s="14"/>
      <c r="K9" s="38"/>
      <c r="L9" s="10"/>
      <c r="M9" s="14"/>
      <c r="N9" s="38"/>
      <c r="O9" s="10"/>
      <c r="P9" s="14"/>
      <c r="Q9" s="38"/>
      <c r="R9" s="41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3"/>
      <c r="E10" s="56"/>
      <c r="F10" s="58"/>
      <c r="G10" s="14"/>
      <c r="H10" s="38"/>
      <c r="I10" s="10"/>
      <c r="J10" s="14"/>
      <c r="K10" s="38"/>
      <c r="L10" s="10"/>
      <c r="M10" s="14"/>
      <c r="N10" s="38"/>
      <c r="O10" s="10"/>
      <c r="P10" s="14"/>
      <c r="Q10" s="38"/>
      <c r="R10" s="10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3"/>
      <c r="E11" s="56"/>
      <c r="F11" s="58"/>
      <c r="G11" s="14"/>
      <c r="H11" s="38"/>
      <c r="I11" s="10"/>
      <c r="J11" s="14"/>
      <c r="K11" s="38"/>
      <c r="L11" s="10"/>
      <c r="M11" s="14"/>
      <c r="N11" s="38"/>
      <c r="O11" s="10"/>
      <c r="P11" s="14"/>
      <c r="Q11" s="38"/>
      <c r="R11" s="10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44691</v>
      </c>
      <c r="C12" s="19">
        <v>8</v>
      </c>
      <c r="D12" s="53"/>
      <c r="E12" s="54">
        <v>0.33333333333333331</v>
      </c>
      <c r="F12" s="55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44692</v>
      </c>
      <c r="C17" s="20">
        <v>8</v>
      </c>
      <c r="D17" s="53"/>
      <c r="E17" s="54">
        <v>0.33333333333333331</v>
      </c>
      <c r="F17" s="55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44693</v>
      </c>
      <c r="C22" s="20">
        <v>8</v>
      </c>
      <c r="D22" s="53"/>
      <c r="E22" s="54">
        <v>0.33333333333333331</v>
      </c>
      <c r="F22" s="55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44694</v>
      </c>
      <c r="C27" s="20">
        <v>8</v>
      </c>
      <c r="D27" s="53"/>
      <c r="E27" s="54">
        <v>0.33333333333333331</v>
      </c>
      <c r="F27" s="55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14"/>
      <c r="N27" s="39">
        <v>0.54166666666666663</v>
      </c>
      <c r="O27" s="40" t="s">
        <v>31</v>
      </c>
      <c r="P27" s="14"/>
      <c r="Q27" s="39">
        <v>0.75</v>
      </c>
      <c r="R27" s="40" t="s">
        <v>32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3"/>
      <c r="E28" s="56"/>
      <c r="F28" s="57" t="s">
        <v>33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44695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44696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89" priority="37">
      <formula>ISODD(VALUE(Dias_da_Agenda))</formula>
    </cfRule>
  </conditionalFormatting>
  <conditionalFormatting sqref="S7:S39">
    <cfRule type="expression" dxfId="88" priority="34">
      <formula>(Dias_da_Agenda-DataInícioSemana)&gt;6</formula>
    </cfRule>
    <cfRule type="expression" dxfId="87" priority="35">
      <formula>ISEVEN(VALUE(Dias_da_Agenda))</formula>
    </cfRule>
  </conditionalFormatting>
  <conditionalFormatting sqref="V7:V39">
    <cfRule type="expression" dxfId="86" priority="32">
      <formula>(Dias_da_Agenda-DataInícioSemana)&gt;6</formula>
    </cfRule>
    <cfRule type="expression" dxfId="85" priority="33">
      <formula>ISEVEN(VALUE(Dias_da_Agenda))</formula>
    </cfRule>
  </conditionalFormatting>
  <conditionalFormatting sqref="B33:C39 D33:F41 B32:F32 S32:X39 B10:X31 B9:Q9 S7:X9 B7:D8">
    <cfRule type="expression" dxfId="84" priority="36">
      <formula>(Dias_da_Agenda-DataInícioSemana)&gt;6</formula>
    </cfRule>
    <cfRule type="expression" dxfId="83" priority="38">
      <formula>ISEVEN(VALUE(Dias_da_Agenda))</formula>
    </cfRule>
  </conditionalFormatting>
  <conditionalFormatting sqref="B40:C103">
    <cfRule type="expression" dxfId="82" priority="30">
      <formula>ISODD(VALUE(Dias_da_Agenda))</formula>
    </cfRule>
  </conditionalFormatting>
  <conditionalFormatting sqref="S40:S103">
    <cfRule type="expression" dxfId="81" priority="27">
      <formula>(Dias_da_Agenda-DataInícioSemana)&gt;6</formula>
    </cfRule>
    <cfRule type="expression" dxfId="80" priority="28">
      <formula>ISEVEN(VALUE(Dias_da_Agenda))</formula>
    </cfRule>
  </conditionalFormatting>
  <conditionalFormatting sqref="V40:V103">
    <cfRule type="expression" dxfId="79" priority="25">
      <formula>(Dias_da_Agenda-DataInícioSemana)&gt;6</formula>
    </cfRule>
    <cfRule type="expression" dxfId="78" priority="26">
      <formula>ISEVEN(VALUE(Dias_da_Agenda))</formula>
    </cfRule>
  </conditionalFormatting>
  <conditionalFormatting sqref="B42:X103 B40:C41 S40:X41">
    <cfRule type="expression" dxfId="77" priority="29">
      <formula>(Dias_da_Agenda-DataInícioSemana)&gt;6</formula>
    </cfRule>
    <cfRule type="expression" dxfId="76" priority="31">
      <formula>ISEVEN(VALUE(Dias_da_Agenda))</formula>
    </cfRule>
  </conditionalFormatting>
  <conditionalFormatting sqref="G32:I41">
    <cfRule type="expression" dxfId="73" priority="20">
      <formula>(Dias_da_Agenda-DataInícioSemana)&gt;6</formula>
    </cfRule>
    <cfRule type="expression" dxfId="72" priority="21">
      <formula>ISEVEN(VALUE(Dias_da_Agenda))</formula>
    </cfRule>
  </conditionalFormatting>
  <conditionalFormatting sqref="J32:L41">
    <cfRule type="expression" dxfId="71" priority="17">
      <formula>(Dias_da_Agenda-DataInícioSemana)&gt;6</formula>
    </cfRule>
    <cfRule type="expression" dxfId="70" priority="18">
      <formula>ISEVEN(VALUE(Dias_da_Agenda))</formula>
    </cfRule>
  </conditionalFormatting>
  <conditionalFormatting sqref="M32:O41">
    <cfRule type="expression" dxfId="69" priority="14">
      <formula>(Dias_da_Agenda-DataInícioSemana)&gt;6</formula>
    </cfRule>
    <cfRule type="expression" dxfId="68" priority="15">
      <formula>ISEVEN(VALUE(Dias_da_Agenda))</formula>
    </cfRule>
  </conditionalFormatting>
  <conditionalFormatting sqref="P32:R41">
    <cfRule type="expression" dxfId="67" priority="11">
      <formula>(Dias_da_Agenda-DataInícioSemana)&gt;6</formula>
    </cfRule>
    <cfRule type="expression" dxfId="66" priority="12">
      <formula>ISEVEN(VALUE(Dias_da_Agenda))</formula>
    </cfRule>
  </conditionalFormatting>
  <conditionalFormatting sqref="R9">
    <cfRule type="expression" dxfId="65" priority="9">
      <formula>(Dias_da_Agenda-DataInícioSemana)&gt;6</formula>
    </cfRule>
    <cfRule type="expression" dxfId="64" priority="10">
      <formula>ISEVEN(VALUE(Dias_da_Agenda))</formula>
    </cfRule>
  </conditionalFormatting>
  <conditionalFormatting sqref="E7:R8">
    <cfRule type="expression" dxfId="61" priority="1">
      <formula>(Dias_da_Agenda-DataInícioSemana)&gt;6</formula>
    </cfRule>
    <cfRule type="expression" dxfId="60" priority="2">
      <formula>ISEVEN(VALUE(Dias_da_Agenda))</formula>
    </cfRule>
  </conditionalFormatting>
  <dataValidations count="4">
    <dataValidation type="list" allowBlank="1" showInputMessage="1" sqref="F7:F1048576 I7:I1048576 L7:L1048576 R7:R1048576 U7:U1048576 X7:X1048576 O7:O1048576" xr:uid="{D4F55DF6-944C-4773-99D9-9E903D56EE33}">
      <formula1>Atividades</formula1>
    </dataValidation>
    <dataValidation allowBlank="1" showInputMessage="1" sqref="F1:F6 I1:I6" xr:uid="{54072CC5-C73F-4C0C-8FBA-72A60F8616FA}"/>
    <dataValidation type="date" operator="greaterThan" allowBlank="1" showInputMessage="1" showErrorMessage="1" errorTitle="Tente novamente" error="O valor deve ser uma data." prompt="Insira uma data de início para a agenda desta semana." sqref="B5" xr:uid="{3B3DFB30-C36F-4957-81BE-A1053F0F9449}">
      <formula1>40544</formula1>
    </dataValidation>
    <dataValidation type="list" allowBlank="1" showInputMessage="1" sqref="X4 U4 R4 L4 O4" xr:uid="{FF9D43CF-EB65-4B2F-85A4-84454A054472}">
      <formula1>Aulas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9" id="{1DF03411-E31E-42AB-9E87-D1100AFB659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40" id="{39F2676F-3C83-4925-89A7-C5FDDFCFCFE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41" id="{D4ABCE3A-656E-468C-9DA4-53D3261AC17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42" id="{9A3B81C0-4BD7-4754-83BC-1289015ED1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43" id="{9302F518-3BA6-41A8-8BA1-22C6AAD564D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44" id="{D9461AD1-4150-4BB7-A968-C9BA0849A3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45" id="{F590CA0B-23A6-43B0-8513-1DC217BE820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22" id="{930F0FAA-D644-4A40-8B86-162419D1CB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9" id="{38EE0AF1-A98F-4739-B76A-95872CC7A3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6" id="{608C45B0-181C-4E9D-BF33-6E7EBDBEC2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13" id="{CE41ACE3-03F4-45AD-BC51-9DF0E77E01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3" id="{BD274A17-E82E-4880-8E72-DA2B5719CC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4" id="{949C7F9E-A418-4645-AFC5-BCF1471A83C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5" id="{21BC67AE-6C84-43CD-8121-95245966CC4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6" id="{860DB269-82DB-4E67-BC9E-5C059560C87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  <pageSetUpPr fitToPage="1"/>
  </sheetPr>
  <dimension ref="A1:X103"/>
  <sheetViews>
    <sheetView showGridLines="0" topLeftCell="A3" zoomScaleNormal="100" workbookViewId="0">
      <selection activeCell="D34" sqref="D34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46" style="3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37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44683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72" x14ac:dyDescent="0.3">
      <c r="B7" s="30">
        <f ca="1">Dia_da_Agenda</f>
        <v>44683</v>
      </c>
      <c r="C7" s="19">
        <v>8</v>
      </c>
      <c r="D7" s="53"/>
      <c r="E7" s="54">
        <v>0.41666666666666669</v>
      </c>
      <c r="F7" s="59" t="s">
        <v>38</v>
      </c>
      <c r="G7" s="14"/>
      <c r="H7" s="39"/>
      <c r="I7" s="10"/>
      <c r="J7" s="14"/>
      <c r="K7" s="39">
        <v>0.5</v>
      </c>
      <c r="L7" s="43" t="s">
        <v>30</v>
      </c>
      <c r="M7" s="14"/>
      <c r="N7" s="39">
        <v>0.54166666666666663</v>
      </c>
      <c r="O7" s="44" t="s">
        <v>31</v>
      </c>
      <c r="P7" s="53"/>
      <c r="Q7" s="54">
        <v>0.75</v>
      </c>
      <c r="R7" s="59" t="s">
        <v>39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3"/>
      <c r="E8" s="56"/>
      <c r="F8" s="57"/>
      <c r="G8" s="14"/>
      <c r="H8" s="38"/>
      <c r="I8" s="10"/>
      <c r="J8" s="14"/>
      <c r="K8" s="38"/>
      <c r="L8" s="10"/>
      <c r="M8" s="14"/>
      <c r="N8" s="38"/>
      <c r="O8" s="10"/>
      <c r="P8" s="53"/>
      <c r="Q8" s="56"/>
      <c r="R8" s="57" t="s">
        <v>33</v>
      </c>
      <c r="S8" s="14"/>
      <c r="T8" s="38"/>
      <c r="U8" s="10"/>
      <c r="V8" s="14"/>
      <c r="W8" s="38"/>
      <c r="X8" s="10"/>
    </row>
    <row r="9" spans="1:24" ht="40.5" x14ac:dyDescent="0.3">
      <c r="B9" s="30" t="str">
        <f ca="1">Dia_da_Agenda</f>
        <v/>
      </c>
      <c r="C9" s="19" t="str">
        <f ca="1">TotalHorasDiárias</f>
        <v/>
      </c>
      <c r="D9" s="53"/>
      <c r="E9" s="56"/>
      <c r="F9" s="60"/>
      <c r="G9" s="14"/>
      <c r="H9" s="38"/>
      <c r="I9" s="10"/>
      <c r="J9" s="14"/>
      <c r="K9" s="38"/>
      <c r="L9" s="10"/>
      <c r="M9" s="14"/>
      <c r="N9" s="38"/>
      <c r="O9" s="10"/>
      <c r="P9" s="53"/>
      <c r="Q9" s="56"/>
      <c r="R9" s="60" t="s">
        <v>40</v>
      </c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3"/>
      <c r="E10" s="56"/>
      <c r="F10" s="58"/>
      <c r="G10" s="14"/>
      <c r="H10" s="38"/>
      <c r="I10" s="10"/>
      <c r="J10" s="14"/>
      <c r="K10" s="38"/>
      <c r="L10" s="10"/>
      <c r="M10" s="14"/>
      <c r="N10" s="38"/>
      <c r="O10" s="10"/>
      <c r="P10" s="53"/>
      <c r="Q10" s="56"/>
      <c r="R10" s="58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3"/>
      <c r="E11" s="56"/>
      <c r="F11" s="58"/>
      <c r="G11" s="14"/>
      <c r="H11" s="38"/>
      <c r="I11" s="10"/>
      <c r="J11" s="14"/>
      <c r="K11" s="38"/>
      <c r="L11" s="10"/>
      <c r="M11" s="14"/>
      <c r="N11" s="38"/>
      <c r="O11" s="10"/>
      <c r="P11" s="53"/>
      <c r="Q11" s="56"/>
      <c r="R11" s="58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44684</v>
      </c>
      <c r="C12" s="19">
        <v>8</v>
      </c>
      <c r="D12" s="53"/>
      <c r="E12" s="54">
        <v>0.33333333333333331</v>
      </c>
      <c r="F12" s="55" t="s">
        <v>35</v>
      </c>
      <c r="G12" s="14"/>
      <c r="H12" s="39">
        <v>0.34722222222222227</v>
      </c>
      <c r="I12" s="40" t="s">
        <v>31</v>
      </c>
      <c r="J12" s="14"/>
      <c r="K12" s="39">
        <v>0.5</v>
      </c>
      <c r="L12" s="40" t="s">
        <v>36</v>
      </c>
      <c r="M12" s="14"/>
      <c r="N12" s="39">
        <v>0.54166666666666663</v>
      </c>
      <c r="O12" s="40" t="s">
        <v>31</v>
      </c>
      <c r="P12" s="14"/>
      <c r="Q12" s="39">
        <v>0.75</v>
      </c>
      <c r="R12" s="40" t="s">
        <v>32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33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44685</v>
      </c>
      <c r="C17" s="20">
        <v>8</v>
      </c>
      <c r="D17" s="53"/>
      <c r="E17" s="54">
        <v>0.33333333333333331</v>
      </c>
      <c r="F17" s="55" t="s">
        <v>35</v>
      </c>
      <c r="G17" s="14"/>
      <c r="H17" s="39">
        <v>0.34722222222222227</v>
      </c>
      <c r="I17" s="40" t="s">
        <v>31</v>
      </c>
      <c r="J17" s="14"/>
      <c r="K17" s="39">
        <v>0.5</v>
      </c>
      <c r="L17" s="40" t="s">
        <v>36</v>
      </c>
      <c r="M17" s="14"/>
      <c r="N17" s="39">
        <v>0.54166666666666663</v>
      </c>
      <c r="O17" s="40" t="s">
        <v>31</v>
      </c>
      <c r="P17" s="14"/>
      <c r="Q17" s="39">
        <v>0.75</v>
      </c>
      <c r="R17" s="40" t="s">
        <v>32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33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44686</v>
      </c>
      <c r="C22" s="20">
        <v>8</v>
      </c>
      <c r="D22" s="53"/>
      <c r="E22" s="54">
        <v>0.33333333333333331</v>
      </c>
      <c r="F22" s="55" t="s">
        <v>35</v>
      </c>
      <c r="G22" s="14"/>
      <c r="H22" s="39">
        <v>0.34722222222222227</v>
      </c>
      <c r="I22" s="40" t="s">
        <v>31</v>
      </c>
      <c r="J22" s="14"/>
      <c r="K22" s="39">
        <v>0.5</v>
      </c>
      <c r="L22" s="40" t="s">
        <v>36</v>
      </c>
      <c r="M22" s="14"/>
      <c r="N22" s="39">
        <v>0.54166666666666663</v>
      </c>
      <c r="O22" s="40" t="s">
        <v>31</v>
      </c>
      <c r="P22" s="14"/>
      <c r="Q22" s="39">
        <v>0.75</v>
      </c>
      <c r="R22" s="40" t="s">
        <v>32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33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44687</v>
      </c>
      <c r="C27" s="20">
        <v>8</v>
      </c>
      <c r="D27" s="53"/>
      <c r="E27" s="54">
        <v>0.33333333333333331</v>
      </c>
      <c r="F27" s="55" t="s">
        <v>35</v>
      </c>
      <c r="G27" s="14"/>
      <c r="H27" s="39">
        <v>0.34722222222222227</v>
      </c>
      <c r="I27" s="40" t="s">
        <v>31</v>
      </c>
      <c r="J27" s="14"/>
      <c r="K27" s="39">
        <v>0.5</v>
      </c>
      <c r="L27" s="40" t="s">
        <v>36</v>
      </c>
      <c r="M27" s="14"/>
      <c r="N27" s="39">
        <v>0.54166666666666663</v>
      </c>
      <c r="O27" s="40" t="s">
        <v>31</v>
      </c>
      <c r="P27" s="14"/>
      <c r="Q27" s="39">
        <v>0.75</v>
      </c>
      <c r="R27" s="40" t="s">
        <v>32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3"/>
      <c r="E28" s="56"/>
      <c r="F28" s="57" t="s">
        <v>33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44688</v>
      </c>
      <c r="C32" s="20"/>
      <c r="D32" s="45" t="s">
        <v>34</v>
      </c>
      <c r="E32" s="39" t="s">
        <v>34</v>
      </c>
      <c r="F32" s="42" t="s">
        <v>34</v>
      </c>
      <c r="G32" s="45" t="s">
        <v>34</v>
      </c>
      <c r="H32" s="39" t="s">
        <v>34</v>
      </c>
      <c r="I32" s="42" t="s">
        <v>34</v>
      </c>
      <c r="J32" s="45" t="s">
        <v>34</v>
      </c>
      <c r="K32" s="39" t="s">
        <v>34</v>
      </c>
      <c r="L32" s="42" t="s">
        <v>34</v>
      </c>
      <c r="M32" s="45" t="s">
        <v>34</v>
      </c>
      <c r="N32" s="39" t="s">
        <v>34</v>
      </c>
      <c r="O32" s="42" t="s">
        <v>34</v>
      </c>
      <c r="P32" s="45" t="s">
        <v>34</v>
      </c>
      <c r="Q32" s="39" t="s">
        <v>34</v>
      </c>
      <c r="R32" s="42" t="s">
        <v>34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34</v>
      </c>
      <c r="E33" s="39" t="s">
        <v>34</v>
      </c>
      <c r="F33" s="42" t="s">
        <v>34</v>
      </c>
      <c r="G33" s="45" t="s">
        <v>34</v>
      </c>
      <c r="H33" s="39" t="s">
        <v>34</v>
      </c>
      <c r="I33" s="42" t="s">
        <v>34</v>
      </c>
      <c r="J33" s="45" t="s">
        <v>34</v>
      </c>
      <c r="K33" s="39" t="s">
        <v>34</v>
      </c>
      <c r="L33" s="42" t="s">
        <v>34</v>
      </c>
      <c r="M33" s="45" t="s">
        <v>34</v>
      </c>
      <c r="N33" s="39" t="s">
        <v>34</v>
      </c>
      <c r="O33" s="42" t="s">
        <v>34</v>
      </c>
      <c r="P33" s="45" t="s">
        <v>34</v>
      </c>
      <c r="Q33" s="39" t="s">
        <v>34</v>
      </c>
      <c r="R33" s="42" t="s">
        <v>34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34</v>
      </c>
      <c r="E34" s="39" t="s">
        <v>34</v>
      </c>
      <c r="F34" s="42" t="s">
        <v>34</v>
      </c>
      <c r="G34" s="45" t="s">
        <v>34</v>
      </c>
      <c r="H34" s="39" t="s">
        <v>34</v>
      </c>
      <c r="I34" s="42" t="s">
        <v>34</v>
      </c>
      <c r="J34" s="45" t="s">
        <v>34</v>
      </c>
      <c r="K34" s="39" t="s">
        <v>34</v>
      </c>
      <c r="L34" s="42" t="s">
        <v>34</v>
      </c>
      <c r="M34" s="45" t="s">
        <v>34</v>
      </c>
      <c r="N34" s="39" t="s">
        <v>34</v>
      </c>
      <c r="O34" s="42" t="s">
        <v>34</v>
      </c>
      <c r="P34" s="45" t="s">
        <v>34</v>
      </c>
      <c r="Q34" s="39" t="s">
        <v>34</v>
      </c>
      <c r="R34" s="42" t="s">
        <v>34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34</v>
      </c>
      <c r="E35" s="39" t="s">
        <v>34</v>
      </c>
      <c r="F35" s="42" t="s">
        <v>34</v>
      </c>
      <c r="G35" s="45" t="s">
        <v>34</v>
      </c>
      <c r="H35" s="39" t="s">
        <v>34</v>
      </c>
      <c r="I35" s="42" t="s">
        <v>34</v>
      </c>
      <c r="J35" s="45" t="s">
        <v>34</v>
      </c>
      <c r="K35" s="39" t="s">
        <v>34</v>
      </c>
      <c r="L35" s="42" t="s">
        <v>34</v>
      </c>
      <c r="M35" s="45" t="s">
        <v>34</v>
      </c>
      <c r="N35" s="39" t="s">
        <v>34</v>
      </c>
      <c r="O35" s="42" t="s">
        <v>34</v>
      </c>
      <c r="P35" s="45" t="s">
        <v>34</v>
      </c>
      <c r="Q35" s="39" t="s">
        <v>34</v>
      </c>
      <c r="R35" s="42" t="s">
        <v>34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34</v>
      </c>
      <c r="E36" s="39" t="s">
        <v>34</v>
      </c>
      <c r="F36" s="42" t="s">
        <v>34</v>
      </c>
      <c r="G36" s="45" t="s">
        <v>34</v>
      </c>
      <c r="H36" s="39" t="s">
        <v>34</v>
      </c>
      <c r="I36" s="42" t="s">
        <v>34</v>
      </c>
      <c r="J36" s="45" t="s">
        <v>34</v>
      </c>
      <c r="K36" s="39" t="s">
        <v>34</v>
      </c>
      <c r="L36" s="42" t="s">
        <v>34</v>
      </c>
      <c r="M36" s="45" t="s">
        <v>34</v>
      </c>
      <c r="N36" s="39" t="s">
        <v>34</v>
      </c>
      <c r="O36" s="42" t="s">
        <v>34</v>
      </c>
      <c r="P36" s="45" t="s">
        <v>34</v>
      </c>
      <c r="Q36" s="39" t="s">
        <v>34</v>
      </c>
      <c r="R36" s="42" t="s">
        <v>34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44689</v>
      </c>
      <c r="C37" s="20"/>
      <c r="D37" s="45" t="s">
        <v>34</v>
      </c>
      <c r="E37" s="39" t="s">
        <v>34</v>
      </c>
      <c r="F37" s="42" t="s">
        <v>34</v>
      </c>
      <c r="G37" s="45" t="s">
        <v>34</v>
      </c>
      <c r="H37" s="39" t="s">
        <v>34</v>
      </c>
      <c r="I37" s="42" t="s">
        <v>34</v>
      </c>
      <c r="J37" s="45" t="s">
        <v>34</v>
      </c>
      <c r="K37" s="39" t="s">
        <v>34</v>
      </c>
      <c r="L37" s="42" t="s">
        <v>34</v>
      </c>
      <c r="M37" s="45" t="s">
        <v>34</v>
      </c>
      <c r="N37" s="39" t="s">
        <v>34</v>
      </c>
      <c r="O37" s="42" t="s">
        <v>34</v>
      </c>
      <c r="P37" s="45" t="s">
        <v>34</v>
      </c>
      <c r="Q37" s="39" t="s">
        <v>34</v>
      </c>
      <c r="R37" s="42" t="s">
        <v>34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34</v>
      </c>
      <c r="E38" s="39" t="s">
        <v>34</v>
      </c>
      <c r="F38" s="42" t="s">
        <v>34</v>
      </c>
      <c r="G38" s="45" t="s">
        <v>34</v>
      </c>
      <c r="H38" s="39" t="s">
        <v>34</v>
      </c>
      <c r="I38" s="42" t="s">
        <v>34</v>
      </c>
      <c r="J38" s="45" t="s">
        <v>34</v>
      </c>
      <c r="K38" s="39" t="s">
        <v>34</v>
      </c>
      <c r="L38" s="42" t="s">
        <v>34</v>
      </c>
      <c r="M38" s="45" t="s">
        <v>34</v>
      </c>
      <c r="N38" s="39" t="s">
        <v>34</v>
      </c>
      <c r="O38" s="42" t="s">
        <v>34</v>
      </c>
      <c r="P38" s="45" t="s">
        <v>34</v>
      </c>
      <c r="Q38" s="39" t="s">
        <v>34</v>
      </c>
      <c r="R38" s="42" t="s">
        <v>34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34</v>
      </c>
      <c r="E39" s="39" t="s">
        <v>34</v>
      </c>
      <c r="F39" s="42" t="s">
        <v>34</v>
      </c>
      <c r="G39" s="45" t="s">
        <v>34</v>
      </c>
      <c r="H39" s="39" t="s">
        <v>34</v>
      </c>
      <c r="I39" s="42" t="s">
        <v>34</v>
      </c>
      <c r="J39" s="45" t="s">
        <v>34</v>
      </c>
      <c r="K39" s="39" t="s">
        <v>34</v>
      </c>
      <c r="L39" s="42" t="s">
        <v>34</v>
      </c>
      <c r="M39" s="45" t="s">
        <v>34</v>
      </c>
      <c r="N39" s="39" t="s">
        <v>34</v>
      </c>
      <c r="O39" s="42" t="s">
        <v>34</v>
      </c>
      <c r="P39" s="45" t="s">
        <v>34</v>
      </c>
      <c r="Q39" s="39" t="s">
        <v>34</v>
      </c>
      <c r="R39" s="42" t="s">
        <v>34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34</v>
      </c>
      <c r="E40" s="39" t="s">
        <v>34</v>
      </c>
      <c r="F40" s="42" t="s">
        <v>34</v>
      </c>
      <c r="G40" s="45" t="s">
        <v>34</v>
      </c>
      <c r="H40" s="39" t="s">
        <v>34</v>
      </c>
      <c r="I40" s="42" t="s">
        <v>34</v>
      </c>
      <c r="J40" s="45" t="s">
        <v>34</v>
      </c>
      <c r="K40" s="39" t="s">
        <v>34</v>
      </c>
      <c r="L40" s="42" t="s">
        <v>34</v>
      </c>
      <c r="M40" s="45" t="s">
        <v>34</v>
      </c>
      <c r="N40" s="39" t="s">
        <v>34</v>
      </c>
      <c r="O40" s="42" t="s">
        <v>34</v>
      </c>
      <c r="P40" s="45" t="s">
        <v>34</v>
      </c>
      <c r="Q40" s="39" t="s">
        <v>34</v>
      </c>
      <c r="R40" s="42" t="s">
        <v>34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34</v>
      </c>
      <c r="E41" s="39" t="s">
        <v>34</v>
      </c>
      <c r="F41" s="42" t="s">
        <v>34</v>
      </c>
      <c r="G41" s="45" t="s">
        <v>34</v>
      </c>
      <c r="H41" s="39" t="s">
        <v>34</v>
      </c>
      <c r="I41" s="42" t="s">
        <v>34</v>
      </c>
      <c r="J41" s="45" t="s">
        <v>34</v>
      </c>
      <c r="K41" s="39" t="s">
        <v>34</v>
      </c>
      <c r="L41" s="42" t="s">
        <v>34</v>
      </c>
      <c r="M41" s="45" t="s">
        <v>34</v>
      </c>
      <c r="N41" s="39" t="s">
        <v>34</v>
      </c>
      <c r="O41" s="42" t="s">
        <v>34</v>
      </c>
      <c r="P41" s="45" t="s">
        <v>34</v>
      </c>
      <c r="Q41" s="39" t="s">
        <v>34</v>
      </c>
      <c r="R41" s="42" t="s">
        <v>34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129" priority="91">
      <formula>ISODD(VALUE(Dias_da_Agenda))</formula>
    </cfRule>
  </conditionalFormatting>
  <conditionalFormatting sqref="S7:S39">
    <cfRule type="expression" dxfId="128" priority="41">
      <formula>(Dias_da_Agenda-DataInícioSemana)&gt;6</formula>
    </cfRule>
    <cfRule type="expression" dxfId="127" priority="42">
      <formula>ISEVEN(VALUE(Dias_da_Agenda))</formula>
    </cfRule>
  </conditionalFormatting>
  <conditionalFormatting sqref="V7:V39">
    <cfRule type="expression" dxfId="126" priority="36">
      <formula>(Dias_da_Agenda-DataInícioSemana)&gt;6</formula>
    </cfRule>
    <cfRule type="expression" dxfId="125" priority="37">
      <formula>ISEVEN(VALUE(Dias_da_Agenda))</formula>
    </cfRule>
  </conditionalFormatting>
  <conditionalFormatting sqref="B7:E7 G7:Q7 B33:C39 D33:F41 B32:F32 S32:X39 B10:X31 B8:Q9 S7:X9">
    <cfRule type="expression" dxfId="103" priority="83">
      <formula>(Dias_da_Agenda-DataInícioSemana)&gt;6</formula>
    </cfRule>
    <cfRule type="expression" dxfId="102" priority="92">
      <formula>ISEVEN(VALUE(Dias_da_Agenda))</formula>
    </cfRule>
  </conditionalFormatting>
  <conditionalFormatting sqref="B40:C103">
    <cfRule type="expression" dxfId="124" priority="24">
      <formula>ISODD(VALUE(Dias_da_Agenda))</formula>
    </cfRule>
  </conditionalFormatting>
  <conditionalFormatting sqref="S40:S103">
    <cfRule type="expression" dxfId="123" priority="21">
      <formula>(Dias_da_Agenda-DataInícioSemana)&gt;6</formula>
    </cfRule>
    <cfRule type="expression" dxfId="122" priority="22">
      <formula>ISEVEN(VALUE(Dias_da_Agenda))</formula>
    </cfRule>
  </conditionalFormatting>
  <conditionalFormatting sqref="V40:V103">
    <cfRule type="expression" dxfId="121" priority="19">
      <formula>(Dias_da_Agenda-DataInícioSemana)&gt;6</formula>
    </cfRule>
    <cfRule type="expression" dxfId="120" priority="20">
      <formula>ISEVEN(VALUE(Dias_da_Agenda))</formula>
    </cfRule>
  </conditionalFormatting>
  <conditionalFormatting sqref="B42:X103 B40:C41 S40:X41">
    <cfRule type="expression" dxfId="119" priority="23">
      <formula>(Dias_da_Agenda-DataInícioSemana)&gt;6</formula>
    </cfRule>
    <cfRule type="expression" dxfId="118" priority="25">
      <formula>ISEVEN(VALUE(Dias_da_Agenda))</formula>
    </cfRule>
  </conditionalFormatting>
  <conditionalFormatting sqref="F7">
    <cfRule type="expression" dxfId="117" priority="17">
      <formula>(Dias_da_Agenda-DataInícioSemana)&gt;6</formula>
    </cfRule>
    <cfRule type="expression" dxfId="116" priority="18">
      <formula>ISEVEN(VALUE(Dias_da_Agenda))</formula>
    </cfRule>
  </conditionalFormatting>
  <conditionalFormatting sqref="G32:I41">
    <cfRule type="expression" dxfId="101" priority="14">
      <formula>(Dias_da_Agenda-DataInícioSemana)&gt;6</formula>
    </cfRule>
    <cfRule type="expression" dxfId="100" priority="15">
      <formula>ISEVEN(VALUE(Dias_da_Agenda))</formula>
    </cfRule>
  </conditionalFormatting>
  <conditionalFormatting sqref="J32:L41">
    <cfRule type="expression" dxfId="99" priority="11">
      <formula>(Dias_da_Agenda-DataInícioSemana)&gt;6</formula>
    </cfRule>
    <cfRule type="expression" dxfId="98" priority="12">
      <formula>ISEVEN(VALUE(Dias_da_Agenda))</formula>
    </cfRule>
  </conditionalFormatting>
  <conditionalFormatting sqref="M32:O41">
    <cfRule type="expression" dxfId="97" priority="8">
      <formula>(Dias_da_Agenda-DataInícioSemana)&gt;6</formula>
    </cfRule>
    <cfRule type="expression" dxfId="96" priority="9">
      <formula>ISEVEN(VALUE(Dias_da_Agenda))</formula>
    </cfRule>
  </conditionalFormatting>
  <conditionalFormatting sqref="P32:R41">
    <cfRule type="expression" dxfId="95" priority="5">
      <formula>(Dias_da_Agenda-DataInícioSemana)&gt;6</formula>
    </cfRule>
    <cfRule type="expression" dxfId="94" priority="6">
      <formula>ISEVEN(VALUE(Dias_da_Agenda))</formula>
    </cfRule>
  </conditionalFormatting>
  <conditionalFormatting sqref="R8:R9">
    <cfRule type="expression" dxfId="93" priority="3">
      <formula>(Dias_da_Agenda-DataInícioSemana)&gt;6</formula>
    </cfRule>
    <cfRule type="expression" dxfId="92" priority="4">
      <formula>ISEVEN(VALUE(Dias_da_Agenda))</formula>
    </cfRule>
  </conditionalFormatting>
  <conditionalFormatting sqref="R7">
    <cfRule type="expression" dxfId="91" priority="1">
      <formula>(Dias_da_Agenda-DataInícioSemana)&gt;6</formula>
    </cfRule>
    <cfRule type="expression" dxfId="90" priority="2">
      <formula>ISEVEN(VALUE(Dias_da_Agenda))</formula>
    </cfRule>
  </conditionalFormatting>
  <dataValidations count="4">
    <dataValidation type="list" allowBlank="1" showInputMessage="1" sqref="X4 U4 R4 L4 O4" xr:uid="{00000000-0002-0000-0100-000000000000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00000000-0002-0000-0100-000001000000}">
      <formula1>40544</formula1>
    </dataValidation>
    <dataValidation allowBlank="1" showInputMessage="1" sqref="F1:F6 I1:I6" xr:uid="{00000000-0002-0000-0100-000003000000}"/>
    <dataValidation type="list" allowBlank="1" showInputMessage="1" sqref="O7:O1048576 F7:F1048576 I7:I1048576 L7:L1048576 U7:U1048576 X7:X1048576 R7:R1048576" xr:uid="{00000000-0002-0000-0100-00000400000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7" id="{A61A75FD-40A6-4FBE-8E7A-E6FC73D7C96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118" id="{6A43C21C-B048-4A2E-A3C4-8966290246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G7:G31 G42:G103</xm:sqref>
        </x14:conditionalFormatting>
        <x14:conditionalFormatting xmlns:xm="http://schemas.microsoft.com/office/excel/2006/main">
          <x14:cfRule type="iconSet" priority="119" id="{C0E539D0-F01E-4862-8EA2-85141A86571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J7:J31 J42:J103</xm:sqref>
        </x14:conditionalFormatting>
        <x14:conditionalFormatting xmlns:xm="http://schemas.microsoft.com/office/excel/2006/main">
          <x14:cfRule type="iconSet" priority="120" id="{FCAD5180-6FDE-4AFD-8A3A-990E1444E8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M7:M31 M42:M103</xm:sqref>
        </x14:conditionalFormatting>
        <x14:conditionalFormatting xmlns:xm="http://schemas.microsoft.com/office/excel/2006/main">
          <x14:cfRule type="iconSet" priority="121" id="{B0B11872-D593-4E23-AA3D-94389F9C0F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P7:P31 P42:P103</xm:sqref>
        </x14:conditionalFormatting>
        <x14:conditionalFormatting xmlns:xm="http://schemas.microsoft.com/office/excel/2006/main">
          <x14:cfRule type="iconSet" priority="122" id="{E5BE5A78-7733-44FB-99BE-0BF0B805D8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123" id="{2BD5F25B-974C-425E-9F46-677E8CF5E0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16" id="{0F307E5B-FF78-493B-952E-3D7EE1B56F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3" id="{5FB7B4E8-7D2F-4E4D-AB94-E9D3AE234C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0" id="{FEB3B140-6FDE-430F-AAF2-26BC5E9DF5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7" id="{77ED101C-91C3-4533-A548-950A23D8CA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845875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2012-06-28T22:27:09+00:00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452440</Value>
    </PublishStatusLookup>
    <APAuthor xmlns="e5d022ff-4ce9-4922-b5a4-f245e35e2aac">
      <UserInfo>
        <DisplayName/>
        <AccountId>2566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 xsi:nil="true"/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false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>TEMPLATE ON HOLD! DO NOT PUBLISH! BlockPublish set by REDMOND\dduffy!</UALocComments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false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TP102929969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1DF7DB03-2A40-4559-8EEC-B468642BE6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6ECF82-06B1-4294-BE6A-3C9B36831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d022ff-4ce9-4922-b5a4-f245e35e2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704F9B-0122-4F92-84FC-42F290D19B58}">
  <ds:schemaRefs>
    <ds:schemaRef ds:uri="http://schemas.microsoft.com/office/2006/metadata/properties"/>
    <ds:schemaRef ds:uri="http://schemas.microsoft.com/office/infopath/2007/PartnerControls"/>
    <ds:schemaRef ds:uri="e5d022ff-4ce9-4922-b5a4-f245e35e2a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TM02930053</Templat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21</vt:i4>
      </vt:variant>
    </vt:vector>
  </HeadingPairs>
  <TitlesOfParts>
    <vt:vector size="26" baseType="lpstr">
      <vt:lpstr>Instruções e preparo</vt:lpstr>
      <vt:lpstr>mai23</vt:lpstr>
      <vt:lpstr>mai16</vt:lpstr>
      <vt:lpstr>mai09</vt:lpstr>
      <vt:lpstr>mai02</vt:lpstr>
      <vt:lpstr>'mai02'!Área_de_Impressão</vt:lpstr>
      <vt:lpstr>'mai09'!Área_de_Impressão</vt:lpstr>
      <vt:lpstr>'mai16'!Área_de_Impressão</vt:lpstr>
      <vt:lpstr>'mai23'!Área_de_Impressão</vt:lpstr>
      <vt:lpstr>'mai09'!Atividades</vt:lpstr>
      <vt:lpstr>'mai16'!Atividades</vt:lpstr>
      <vt:lpstr>'mai23'!Atividades</vt:lpstr>
      <vt:lpstr>Atividades</vt:lpstr>
      <vt:lpstr>'mai09'!Aulas</vt:lpstr>
      <vt:lpstr>'mai16'!Aulas</vt:lpstr>
      <vt:lpstr>'mai23'!Aulas</vt:lpstr>
      <vt:lpstr>Aulas</vt:lpstr>
      <vt:lpstr>'mai09'!DataInícioSemana</vt:lpstr>
      <vt:lpstr>'mai16'!DataInícioSemana</vt:lpstr>
      <vt:lpstr>'mai23'!DataInícioSemana</vt:lpstr>
      <vt:lpstr>DataInícioSemana</vt:lpstr>
      <vt:lpstr>'mai02'!Imprimir_Títulos</vt:lpstr>
      <vt:lpstr>'mai09'!Imprimir_Títulos</vt:lpstr>
      <vt:lpstr>'mai16'!Imprimir_Títulos</vt:lpstr>
      <vt:lpstr>'mai23'!Imprimir_Títulos</vt:lpstr>
      <vt:lpstr>LinhasPorDia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2012-06-20T19:35:08Z</dcterms:created>
  <dcterms:modified xsi:type="dcterms:W3CDTF">2022-04-12T03:06:10Z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  <property fmtid="{D5CDD505-2E9C-101B-9397-08002B2CF9AE}" pid="12" name="Order">
    <vt:r8>8897900</vt:r8>
  </property>
  <property fmtid="{D5CDD505-2E9C-101B-9397-08002B2CF9AE}" pid="13" name="Applications">
    <vt:lpwstr/>
  </property>
</Properties>
</file>